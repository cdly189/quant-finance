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VIP\VIP comp sheets\BTIG Daily position for workbook\Intern 2022\Cuong\"/>
    </mc:Choice>
  </mc:AlternateContent>
  <xr:revisionPtr revIDLastSave="0" documentId="13_ncr:1_{49C2BF56-CF96-4AA0-85DE-FB44DA7C1297}" xr6:coauthVersionLast="47" xr6:coauthVersionMax="47" xr10:uidLastSave="{00000000-0000-0000-0000-000000000000}"/>
  <bookViews>
    <workbookView xWindow="8205" yWindow="1155" windowWidth="17610" windowHeight="13260" activeTab="7" xr2:uid="{A1D40733-16BB-4335-A318-E1EB237F504C}"/>
  </bookViews>
  <sheets>
    <sheet name="Date" sheetId="3" r:id="rId1"/>
    <sheet name="FOF" sheetId="9" r:id="rId2"/>
    <sheet name="Bridge" sheetId="6" r:id="rId3"/>
    <sheet name="LS" sheetId="5" r:id="rId4"/>
    <sheet name="AMX8" sheetId="10" r:id="rId5"/>
    <sheet name="AROV" sheetId="11" r:id="rId6"/>
    <sheet name="ATOM" sheetId="7" r:id="rId7"/>
    <sheet name="AVYF" sheetId="13" r:id="rId8"/>
    <sheet name="RC" sheetId="8" r:id="rId9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Y">1000</definedName>
    <definedName name="IQ_LATESTK">1000</definedName>
    <definedName name="IQ_LATESTQ">500</definedName>
    <definedName name="IQ_LTM">2000</definedName>
    <definedName name="IQ_LTMMONTH">120000</definedName>
    <definedName name="IQ_MONTH">15000</definedName>
    <definedName name="IQ_NTM">6000</definedName>
    <definedName name="IQ_TODAY">0</definedName>
    <definedName name="IQ_WEEK">50000</definedName>
    <definedName name="IQ_YTD">3000</definedName>
    <definedName name="IQ_YTDMONTH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2" i="3" l="1"/>
  <c r="C2" i="3"/>
  <c r="C3" i="3" s="1"/>
  <c r="C4" i="3" l="1"/>
  <c r="C6" i="3"/>
  <c r="C5" i="3"/>
  <c r="B5" i="3" l="1"/>
  <c r="B8" i="3" s="1"/>
  <c r="B14" i="3" l="1"/>
  <c r="B7" i="3"/>
  <c r="B11" i="3" l="1"/>
  <c r="B13" i="3"/>
  <c r="B10" i="3"/>
  <c r="B9" i="3"/>
  <c r="B12" i="3"/>
</calcChain>
</file>

<file path=xl/sharedStrings.xml><?xml version="1.0" encoding="utf-8"?>
<sst xmlns="http://schemas.openxmlformats.org/spreadsheetml/2006/main" count="634" uniqueCount="275">
  <si>
    <t>Bridge</t>
  </si>
  <si>
    <t>L/S</t>
  </si>
  <si>
    <t>FOF</t>
  </si>
  <si>
    <t>RC</t>
  </si>
  <si>
    <t>Hybrid</t>
  </si>
  <si>
    <t>Hybrid SPV</t>
  </si>
  <si>
    <t>ATOM</t>
  </si>
  <si>
    <t>Folder</t>
  </si>
  <si>
    <t>S:\VIP\VIP comp sheets\BTIG Daily position for workbook\</t>
  </si>
  <si>
    <t>LS</t>
  </si>
  <si>
    <t>AMX8</t>
  </si>
  <si>
    <t>AROV</t>
  </si>
  <si>
    <t>Today's Date:</t>
  </si>
  <si>
    <t>Year</t>
  </si>
  <si>
    <t>Month</t>
  </si>
  <si>
    <t>Day</t>
  </si>
  <si>
    <t>Last trading day:</t>
  </si>
  <si>
    <t>Symbol</t>
  </si>
  <si>
    <t>Quantity</t>
  </si>
  <si>
    <t>LocalMarketValue</t>
  </si>
  <si>
    <t>ALL</t>
  </si>
  <si>
    <t>AFG</t>
  </si>
  <si>
    <t>AIG</t>
  </si>
  <si>
    <t>AVDX</t>
  </si>
  <si>
    <t>BCML</t>
  </si>
  <si>
    <t>WRB</t>
  </si>
  <si>
    <t>CATC</t>
  </si>
  <si>
    <t>CG</t>
  </si>
  <si>
    <t>CBOE</t>
  </si>
  <si>
    <t>EQBK</t>
  </si>
  <si>
    <t>AJG</t>
  </si>
  <si>
    <t>HTBK</t>
  </si>
  <si>
    <t>HTBI</t>
  </si>
  <si>
    <t>IBCP</t>
  </si>
  <si>
    <t>LADR</t>
  </si>
  <si>
    <t>MSBI</t>
  </si>
  <si>
    <t>MOFG</t>
  </si>
  <si>
    <t>OSBC</t>
  </si>
  <si>
    <t>PECO</t>
  </si>
  <si>
    <t>PGR</t>
  </si>
  <si>
    <t>PLD</t>
  </si>
  <si>
    <t>QCRH</t>
  </si>
  <si>
    <t>RBB</t>
  </si>
  <si>
    <t>SHBI</t>
  </si>
  <si>
    <t>TSLX</t>
  </si>
  <si>
    <t>SBT</t>
  </si>
  <si>
    <t>UFCS</t>
  </si>
  <si>
    <t>UVSP</t>
  </si>
  <si>
    <t>V</t>
  </si>
  <si>
    <t>SRCE</t>
  </si>
  <si>
    <t>AKR</t>
  </si>
  <si>
    <t>AIZ</t>
  </si>
  <si>
    <t>BRKB</t>
  </si>
  <si>
    <t>CATY</t>
  </si>
  <si>
    <t>CMTG</t>
  </si>
  <si>
    <t>CNA</t>
  </si>
  <si>
    <t>CNS</t>
  </si>
  <si>
    <t>CBSH</t>
  </si>
  <si>
    <t>CVBF</t>
  </si>
  <si>
    <t>DGICA</t>
  </si>
  <si>
    <t>EGP</t>
  </si>
  <si>
    <t>EIG</t>
  </si>
  <si>
    <t>ESGR</t>
  </si>
  <si>
    <t>ERIE</t>
  </si>
  <si>
    <t>FRT</t>
  </si>
  <si>
    <t>FFBC</t>
  </si>
  <si>
    <t>FR</t>
  </si>
  <si>
    <t>GABC</t>
  </si>
  <si>
    <t>GBCI</t>
  </si>
  <si>
    <t>FINX</t>
  </si>
  <si>
    <t>THG</t>
  </si>
  <si>
    <t>HIPO</t>
  </si>
  <si>
    <t>HMN</t>
  </si>
  <si>
    <t>ILPT</t>
  </si>
  <si>
    <t>LKFN</t>
  </si>
  <si>
    <t>LMND</t>
  </si>
  <si>
    <t>LGIH</t>
  </si>
  <si>
    <t>MKL</t>
  </si>
  <si>
    <t>MCY</t>
  </si>
  <si>
    <t>NMFC</t>
  </si>
  <si>
    <t>NWBI</t>
  </si>
  <si>
    <t>ORI</t>
  </si>
  <si>
    <t>PLMR</t>
  </si>
  <si>
    <t>PRU</t>
  </si>
  <si>
    <t>ROOT</t>
  </si>
  <si>
    <t>SIGI</t>
  </si>
  <si>
    <t>KRE</t>
  </si>
  <si>
    <t>SKT</t>
  </si>
  <si>
    <t>TMP</t>
  </si>
  <si>
    <t>TRV</t>
  </si>
  <si>
    <t>TCBK</t>
  </si>
  <si>
    <t>VNO</t>
  </si>
  <si>
    <t>WABC</t>
  </si>
  <si>
    <t>WTW</t>
  </si>
  <si>
    <t>AMNB</t>
  </si>
  <si>
    <t>ARBV</t>
  </si>
  <si>
    <t>CSTR</t>
  </si>
  <si>
    <t>CZWI</t>
  </si>
  <si>
    <t>EBC</t>
  </si>
  <si>
    <t>ESSA</t>
  </si>
  <si>
    <t>EVBN</t>
  </si>
  <si>
    <t>FBMS</t>
  </si>
  <si>
    <t>FSFG</t>
  </si>
  <si>
    <t>HMNF</t>
  </si>
  <si>
    <t>HBCP</t>
  </si>
  <si>
    <t>LMST</t>
  </si>
  <si>
    <t>MPB</t>
  </si>
  <si>
    <t>OPOF</t>
  </si>
  <si>
    <t>PBFS</t>
  </si>
  <si>
    <t>PBAM</t>
  </si>
  <si>
    <t>RMBI</t>
  </si>
  <si>
    <t>RVSB</t>
  </si>
  <si>
    <t>SAL</t>
  </si>
  <si>
    <t>SBFG</t>
  </si>
  <si>
    <t>SFBC</t>
  </si>
  <si>
    <t>SFST</t>
  </si>
  <si>
    <t>SMBC</t>
  </si>
  <si>
    <t>VBTX</t>
  </si>
  <si>
    <t>WBBW</t>
  </si>
  <si>
    <t>GRASSHOPPER</t>
  </si>
  <si>
    <t>DOGWOODSTATEBK</t>
  </si>
  <si>
    <t>DOGWOODSTATEBKNV</t>
  </si>
  <si>
    <t>DOGWOODSTATEWTS</t>
  </si>
  <si>
    <t>GBC</t>
  </si>
  <si>
    <t>GBCWTS</t>
  </si>
  <si>
    <t>GRASSHOPPERNV</t>
  </si>
  <si>
    <t>FISB</t>
  </si>
  <si>
    <t>EMYB</t>
  </si>
  <si>
    <t>MYFW</t>
  </si>
  <si>
    <t>HWBK</t>
  </si>
  <si>
    <t>HRGG</t>
  </si>
  <si>
    <t>MCHN</t>
  </si>
  <si>
    <t>MCBI</t>
  </si>
  <si>
    <t>NWYF</t>
  </si>
  <si>
    <t>SCZC</t>
  </si>
  <si>
    <t>WTBFB</t>
  </si>
  <si>
    <t>CWBC</t>
  </si>
  <si>
    <t>PBCO</t>
  </si>
  <si>
    <t>BCAL</t>
  </si>
  <si>
    <t>UBFO</t>
  </si>
  <si>
    <t>CBU</t>
  </si>
  <si>
    <t>HIG</t>
  </si>
  <si>
    <t>PRA</t>
  </si>
  <si>
    <t>WASH</t>
  </si>
  <si>
    <t>NBHC</t>
  </si>
  <si>
    <t>ONB</t>
  </si>
  <si>
    <t>PFC</t>
  </si>
  <si>
    <t>AVYF</t>
  </si>
  <si>
    <t>Position Tracking</t>
  </si>
  <si>
    <t>S:\Compliance\1 - Top Positions Tracking (SEC Filings)\Historical Records\</t>
  </si>
  <si>
    <t>CCNE</t>
  </si>
  <si>
    <t>CVLY</t>
  </si>
  <si>
    <t>LNKB</t>
  </si>
  <si>
    <t>MAIN</t>
  </si>
  <si>
    <t>SSB</t>
  </si>
  <si>
    <t>TW</t>
  </si>
  <si>
    <t>AER</t>
  </si>
  <si>
    <t>AMH</t>
  </si>
  <si>
    <t>TCPC</t>
  </si>
  <si>
    <t>BHF</t>
  </si>
  <si>
    <t>BRP</t>
  </si>
  <si>
    <t>EFX</t>
  </si>
  <si>
    <t>ELS</t>
  </si>
  <si>
    <t>FMAO</t>
  </si>
  <si>
    <t>GLAD</t>
  </si>
  <si>
    <t>GSBC</t>
  </si>
  <si>
    <t>HTGC</t>
  </si>
  <si>
    <t>JBGS</t>
  </si>
  <si>
    <t>NMIH</t>
  </si>
  <si>
    <t>PFSI</t>
  </si>
  <si>
    <t>TROW</t>
  </si>
  <si>
    <t>PSEC</t>
  </si>
  <si>
    <t>TPG</t>
  </si>
  <si>
    <t>OBT</t>
  </si>
  <si>
    <t>STBA</t>
  </si>
  <si>
    <t>HGTY</t>
  </si>
  <si>
    <t>BREMFINCL</t>
  </si>
  <si>
    <t>AMSF</t>
  </si>
  <si>
    <t>PFS</t>
  </si>
  <si>
    <t>GBDC</t>
  </si>
  <si>
    <t>HBNC</t>
  </si>
  <si>
    <t>PHM</t>
  </si>
  <si>
    <t>QTWO</t>
  </si>
  <si>
    <t>SPGI</t>
  </si>
  <si>
    <t>WELL</t>
  </si>
  <si>
    <t>CASS</t>
  </si>
  <si>
    <t>CINF</t>
  </si>
  <si>
    <t>EGBN</t>
  </si>
  <si>
    <t>FMBH</t>
  </si>
  <si>
    <t>HR</t>
  </si>
  <si>
    <t>NSP</t>
  </si>
  <si>
    <t>JRVR</t>
  </si>
  <si>
    <t>MC</t>
  </si>
  <si>
    <t>OCFC</t>
  </si>
  <si>
    <t>PMT</t>
  </si>
  <si>
    <t>RYAN</t>
  </si>
  <si>
    <t>SEIC</t>
  </si>
  <si>
    <t>UDR</t>
  </si>
  <si>
    <t>UBSI</t>
  </si>
  <si>
    <t>UNM</t>
  </si>
  <si>
    <t>VTR</t>
  </si>
  <si>
    <t>WTBA</t>
  </si>
  <si>
    <t>VABK</t>
  </si>
  <si>
    <t>KRE   230317P00057000</t>
  </si>
  <si>
    <t>KRE   230616P00060000</t>
  </si>
  <si>
    <t>KRE   230317P00048000</t>
  </si>
  <si>
    <t>KRE   230616P00051000</t>
  </si>
  <si>
    <t>BAM</t>
  </si>
  <si>
    <t>WSBC</t>
  </si>
  <si>
    <t>TCFC</t>
  </si>
  <si>
    <t>IBKR</t>
  </si>
  <si>
    <t>CB</t>
  </si>
  <si>
    <t>STEP</t>
  </si>
  <si>
    <t>ARES</t>
  </si>
  <si>
    <t>HPP</t>
  </si>
  <si>
    <t>IBTX</t>
  </si>
  <si>
    <t>JLL</t>
  </si>
  <si>
    <t>NEWT</t>
  </si>
  <si>
    <t>RPT</t>
  </si>
  <si>
    <t>UE</t>
  </si>
  <si>
    <t>MFA</t>
  </si>
  <si>
    <t>ACRE</t>
  </si>
  <si>
    <t>CIM</t>
  </si>
  <si>
    <t>FCFS</t>
  </si>
  <si>
    <t>FSK</t>
  </si>
  <si>
    <t>AGO</t>
  </si>
  <si>
    <t>TPVG</t>
  </si>
  <si>
    <t>MTH</t>
  </si>
  <si>
    <t>NCNO</t>
  </si>
  <si>
    <t>CSWC</t>
  </si>
  <si>
    <t>RLI</t>
  </si>
  <si>
    <t>TRNO</t>
  </si>
  <si>
    <t>WD</t>
  </si>
  <si>
    <t>ABR</t>
  </si>
  <si>
    <t>TOL</t>
  </si>
  <si>
    <t>ACGL</t>
  </si>
  <si>
    <t>ASB</t>
  </si>
  <si>
    <t>BUSE</t>
  </si>
  <si>
    <t>JPM</t>
  </si>
  <si>
    <t>KREF</t>
  </si>
  <si>
    <t>MMC</t>
  </si>
  <si>
    <t>TFC</t>
  </si>
  <si>
    <t>WTFC</t>
  </si>
  <si>
    <t>GRBK</t>
  </si>
  <si>
    <t>TPH</t>
  </si>
  <si>
    <t>ALIT</t>
  </si>
  <si>
    <t>APAM</t>
  </si>
  <si>
    <t>IVZ</t>
  </si>
  <si>
    <t>PRK</t>
  </si>
  <si>
    <t>SLRC</t>
  </si>
  <si>
    <t>STWD</t>
  </si>
  <si>
    <t>TRTX</t>
  </si>
  <si>
    <t>EFSC</t>
  </si>
  <si>
    <t>TNET</t>
  </si>
  <si>
    <t>UMBF</t>
  </si>
  <si>
    <t>CAC</t>
  </si>
  <si>
    <t>INDB</t>
  </si>
  <si>
    <t>ADYEY</t>
  </si>
  <si>
    <t>DX</t>
  </si>
  <si>
    <t>BPOP</t>
  </si>
  <si>
    <t>RWT</t>
  </si>
  <si>
    <t>ALLY</t>
  </si>
  <si>
    <t>ATLO</t>
  </si>
  <si>
    <t>CFB</t>
  </si>
  <si>
    <t>PNC</t>
  </si>
  <si>
    <t>AON</t>
  </si>
  <si>
    <t>BRO</t>
  </si>
  <si>
    <t>OCSL</t>
  </si>
  <si>
    <t>STEL</t>
  </si>
  <si>
    <t>VIRT</t>
  </si>
  <si>
    <t>GPN</t>
  </si>
  <si>
    <t>MDC</t>
  </si>
  <si>
    <t>MCO</t>
  </si>
  <si>
    <t>MHO</t>
  </si>
  <si>
    <t>ESNT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</si>
</sst>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2" fillId="0" borderId="0" xfId="0" applyFont="1"/>
    <xf numFmtId="4" fontId="0" fillId="0" borderId="0" xfId="0" applyNumberFormat="1"/>
    <xf numFmtId="3" fontId="0" fillId="0" borderId="0" xfId="0" applyNumberFormat="1"/>
    <xf numFmtId="0" fontId="5" fillId="2" borderId="0" xfId="0" applyFont="1" applyFill="1"/>
    <xf numFmtId="0" fontId="1" fillId="3" borderId="0" xfId="0" applyFont="1" applyFill="1"/>
    <xf numFmtId="14" fontId="0" fillId="3" borderId="0" xfId="0" applyNumberFormat="1" applyFill="1" applyAlignment="1">
      <alignment horizontal="center"/>
    </xf>
    <xf numFmtId="0" fontId="3" fillId="3" borderId="0" xfId="0" applyFont="1" applyFill="1" applyAlignment="1">
      <alignment horizontal="left"/>
    </xf>
    <xf numFmtId="0" fontId="0" fillId="3" borderId="0" xfId="0" applyFill="1"/>
    <xf numFmtId="0" fontId="4" fillId="4" borderId="0" xfId="0" applyFont="1" applyFill="1"/>
    <xf numFmtId="0" fontId="4" fillId="4" borderId="0" xfId="0" applyFont="1" applyFill="1" applyAlignment="1">
      <alignment horizontal="left"/>
    </xf>
    <xf numFmtId="14" fontId="3" fillId="4" borderId="0" xfId="0" applyNumberFormat="1" applyFont="1" applyFill="1" applyAlignment="1">
      <alignment horizontal="left"/>
    </xf>
    <xf numFmtId="0" fontId="0" fillId="4" borderId="0" xfId="0" applyFill="1"/>
    <xf numFmtId="0" fontId="3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6</xdr:row>
      <xdr:rowOff>0</xdr:rowOff>
    </xdr:from>
    <xdr:to>
      <xdr:col>8</xdr:col>
      <xdr:colOff>0</xdr:colOff>
      <xdr:row>10</xdr:row>
      <xdr:rowOff>19050</xdr:rowOff>
    </xdr:to>
    <xdr:sp macro="[0]!CopyBTIG" textlink="">
      <xdr:nvSpPr>
        <xdr:cNvPr id="4" name="Smiley Face 3">
          <a:extLst>
            <a:ext uri="{FF2B5EF4-FFF2-40B4-BE49-F238E27FC236}">
              <a16:creationId xmlns:a16="http://schemas.microsoft.com/office/drawing/2014/main" id="{60AEF15A-82B8-4215-5AA8-DB6FE378D26F}"/>
            </a:ext>
          </a:extLst>
        </xdr:cNvPr>
        <xdr:cNvSpPr/>
      </xdr:nvSpPr>
      <xdr:spPr>
        <a:xfrm>
          <a:off x="9839325" y="1257300"/>
          <a:ext cx="828675" cy="857250"/>
        </a:xfrm>
        <a:prstGeom prst="smileyFace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E291A-117A-48AF-9959-A7560BA523E4}">
  <sheetPr codeName="Sheet2"/>
  <dimension ref="A1:C22"/>
  <sheetViews>
    <sheetView workbookViewId="0">
      <selection activeCell="D22" sqref="D22"/>
    </sheetView>
  </sheetViews>
  <sheetFormatPr defaultRowHeight="16.5" customHeight="1" x14ac:dyDescent="0.25"/>
  <cols>
    <col min="1" max="1" width="15.42578125" bestFit="1" customWidth="1"/>
    <col min="2" max="2" width="98.85546875" customWidth="1"/>
    <col min="3" max="3" width="12.42578125" hidden="1" customWidth="1"/>
  </cols>
  <sheetData>
    <row r="1" spans="1:3" ht="16.5" customHeight="1" x14ac:dyDescent="0.25">
      <c r="A1" s="7" t="s">
        <v>12</v>
      </c>
      <c r="C1" s="2"/>
    </row>
    <row r="2" spans="1:3" s="15" customFormat="1" ht="16.5" customHeight="1" x14ac:dyDescent="0.3">
      <c r="A2" s="12" t="s">
        <v>13</v>
      </c>
      <c r="B2" s="13">
        <v>2023</v>
      </c>
      <c r="C2" s="14">
        <f>DATE(B2,B3,B4)</f>
        <v>44959</v>
      </c>
    </row>
    <row r="3" spans="1:3" s="15" customFormat="1" ht="16.5" customHeight="1" x14ac:dyDescent="0.3">
      <c r="A3" s="12" t="s">
        <v>14</v>
      </c>
      <c r="B3" s="13">
        <v>2</v>
      </c>
      <c r="C3" s="14">
        <f>IF(WEEKDAY(C2)=2,C2-3,C2-1)</f>
        <v>44958</v>
      </c>
    </row>
    <row r="4" spans="1:3" s="15" customFormat="1" ht="16.5" customHeight="1" x14ac:dyDescent="0.3">
      <c r="A4" s="12" t="s">
        <v>15</v>
      </c>
      <c r="B4" s="13">
        <v>2</v>
      </c>
      <c r="C4" s="16">
        <f>YEAR(C3)</f>
        <v>2023</v>
      </c>
    </row>
    <row r="5" spans="1:3" s="11" customFormat="1" ht="16.5" customHeight="1" x14ac:dyDescent="0.25">
      <c r="A5" s="8" t="s">
        <v>16</v>
      </c>
      <c r="B5" s="9" t="str">
        <f>C4&amp;C5&amp;C6</f>
        <v>20230201</v>
      </c>
      <c r="C5" s="10" t="str">
        <f>IF(LEN(MONTH(C3))=1,"0"&amp;MONTH(C3),MONTH(C3))</f>
        <v>02</v>
      </c>
    </row>
    <row r="6" spans="1:3" ht="16.5" customHeight="1" x14ac:dyDescent="0.25">
      <c r="A6" s="4"/>
      <c r="C6" s="3" t="str">
        <f>IF(LEN(DAY(C3))=1,"0"&amp;DAY(C3),DAY(C3))</f>
        <v>01</v>
      </c>
    </row>
    <row r="7" spans="1:3" ht="16.5" customHeight="1" x14ac:dyDescent="0.25">
      <c r="A7" t="s">
        <v>0</v>
      </c>
      <c r="B7" t="str">
        <f>$B$16&amp;$B$5&amp;"_Positions.csv"</f>
        <v>S:\VIP\VIP comp sheets\BTIG Daily position for workbook\20230201_Positions.csv</v>
      </c>
      <c r="C7" t="s">
        <v>0</v>
      </c>
    </row>
    <row r="8" spans="1:3" ht="16.5" customHeight="1" x14ac:dyDescent="0.25">
      <c r="A8" t="s">
        <v>1</v>
      </c>
      <c r="B8" t="str">
        <f>$B$16&amp;"AK9L_"&amp;$B$5&amp;"_Positions.csv"</f>
        <v>S:\VIP\VIP comp sheets\BTIG Daily position for workbook\AK9L_20230201_Positions.csv</v>
      </c>
      <c r="C8" t="s">
        <v>9</v>
      </c>
    </row>
    <row r="9" spans="1:3" ht="16.5" customHeight="1" x14ac:dyDescent="0.25">
      <c r="A9" t="s">
        <v>2</v>
      </c>
      <c r="B9" t="str">
        <f>$B$16&amp;"B3B3_"&amp;$B$5&amp;"_Positions.csv"</f>
        <v>S:\VIP\VIP comp sheets\BTIG Daily position for workbook\B3B3_20230201_Positions.csv</v>
      </c>
      <c r="C9" t="s">
        <v>2</v>
      </c>
    </row>
    <row r="10" spans="1:3" ht="16.5" customHeight="1" x14ac:dyDescent="0.25">
      <c r="A10" t="s">
        <v>3</v>
      </c>
      <c r="B10" t="str">
        <f>$B$16&amp;"APYW_"&amp;$B$5&amp;"_Positions.csv"</f>
        <v>S:\VIP\VIP comp sheets\BTIG Daily position for workbook\APYW_20230201_Positions.csv</v>
      </c>
      <c r="C10" t="s">
        <v>3</v>
      </c>
    </row>
    <row r="11" spans="1:3" ht="16.5" customHeight="1" x14ac:dyDescent="0.25">
      <c r="A11" t="s">
        <v>4</v>
      </c>
      <c r="B11" t="str">
        <f>$B$16&amp;"AMX8_"&amp;$B$5&amp;"_Positions.csv"</f>
        <v>S:\VIP\VIP comp sheets\BTIG Daily position for workbook\AMX8_20230201_Positions.csv</v>
      </c>
      <c r="C11" t="s">
        <v>10</v>
      </c>
    </row>
    <row r="12" spans="1:3" ht="16.5" customHeight="1" x14ac:dyDescent="0.25">
      <c r="A12" t="s">
        <v>5</v>
      </c>
      <c r="B12" t="str">
        <f>$B$16&amp;"AR0V_"&amp;$B$5&amp;"_Positions.csv"</f>
        <v>S:\VIP\VIP comp sheets\BTIG Daily position for workbook\AR0V_20230201_Positions.csv</v>
      </c>
      <c r="C12" t="s">
        <v>11</v>
      </c>
    </row>
    <row r="13" spans="1:3" ht="16.5" customHeight="1" x14ac:dyDescent="0.25">
      <c r="A13" t="s">
        <v>6</v>
      </c>
      <c r="B13" t="str">
        <f>$B$16&amp;"038CACM41_"&amp;$B$5&amp;"_Positions.csv"</f>
        <v>S:\VIP\VIP comp sheets\BTIG Daily position for workbook\038CACM41_20230201_Positions.csv</v>
      </c>
      <c r="C13" t="s">
        <v>6</v>
      </c>
    </row>
    <row r="14" spans="1:3" ht="16.5" customHeight="1" x14ac:dyDescent="0.25">
      <c r="A14" t="s">
        <v>147</v>
      </c>
      <c r="B14" t="str">
        <f>$B$16&amp;"AVYF_"&amp;$B$5&amp;"_Positions.csv"</f>
        <v>S:\VIP\VIP comp sheets\BTIG Daily position for workbook\AVYF_20230201_Positions.csv</v>
      </c>
      <c r="C14" t="s">
        <v>147</v>
      </c>
    </row>
    <row r="16" spans="1:3" ht="16.5" customHeight="1" x14ac:dyDescent="0.25">
      <c r="A16" s="1" t="s">
        <v>7</v>
      </c>
      <c r="B16" t="s">
        <v>8</v>
      </c>
    </row>
    <row r="17" spans="1:2" ht="16.5" customHeight="1" x14ac:dyDescent="0.25">
      <c r="B17" t="s">
        <v>149</v>
      </c>
    </row>
    <row r="21" spans="1:2" ht="16.5" customHeight="1" x14ac:dyDescent="0.25">
      <c r="A21" t="s">
        <v>148</v>
      </c>
    </row>
    <row r="22" spans="1:2" ht="16.5" customHeight="1" x14ac:dyDescent="0.25">
      <c r="B22" t="str">
        <f>$B$17&amp;$B$3&amp;"-Aug"</f>
        <v>S:\Compliance\1 - Top Positions Tracking (SEC Filings)\Historical Records\2-Aug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26698-40E7-40EC-9E67-4D59E0F5EC71}">
  <sheetPr codeName="Sheet6"/>
  <dimension ref="A1:C57"/>
  <sheetViews>
    <sheetView topLeftCell="A30" workbookViewId="0">
      <selection activeCell="A2" sqref="A2:C57"/>
    </sheetView>
  </sheetViews>
  <sheetFormatPr defaultRowHeight="15" x14ac:dyDescent="0.25"/>
  <cols>
    <col min="1" max="2" width="26.7109375" bestFit="1" customWidth="1"/>
    <col min="3" max="3" width="17" bestFit="1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 t="s">
        <v>94</v>
      </c>
      <c r="B2">
        <v>246192</v>
      </c>
      <c r="C2">
        <v>8665958.4000000004</v>
      </c>
    </row>
    <row r="3" spans="1:3" x14ac:dyDescent="0.25">
      <c r="A3" t="s">
        <v>95</v>
      </c>
      <c r="B3">
        <v>371809</v>
      </c>
      <c r="C3">
        <v>6692562</v>
      </c>
    </row>
    <row r="4" spans="1:3" x14ac:dyDescent="0.25">
      <c r="A4" t="s">
        <v>26</v>
      </c>
      <c r="B4">
        <v>198887</v>
      </c>
      <c r="C4">
        <v>16153602.140000001</v>
      </c>
    </row>
    <row r="5" spans="1:3" x14ac:dyDescent="0.25">
      <c r="A5" t="s">
        <v>96</v>
      </c>
      <c r="B5">
        <v>380284</v>
      </c>
      <c r="C5">
        <v>6654970</v>
      </c>
    </row>
    <row r="6" spans="1:3" x14ac:dyDescent="0.25">
      <c r="A6" t="s">
        <v>97</v>
      </c>
      <c r="B6">
        <v>267687</v>
      </c>
      <c r="C6">
        <v>3332703.15</v>
      </c>
    </row>
    <row r="7" spans="1:3" x14ac:dyDescent="0.25">
      <c r="A7" t="s">
        <v>150</v>
      </c>
      <c r="B7">
        <v>538016</v>
      </c>
      <c r="C7">
        <v>13052268.16</v>
      </c>
    </row>
    <row r="8" spans="1:3" x14ac:dyDescent="0.25">
      <c r="A8" t="s">
        <v>151</v>
      </c>
      <c r="B8">
        <v>630297</v>
      </c>
      <c r="C8">
        <v>15562032.93</v>
      </c>
    </row>
    <row r="9" spans="1:3" x14ac:dyDescent="0.25">
      <c r="A9" t="s">
        <v>209</v>
      </c>
      <c r="B9">
        <v>1155</v>
      </c>
      <c r="C9">
        <v>46962.3</v>
      </c>
    </row>
    <row r="10" spans="1:3" x14ac:dyDescent="0.25">
      <c r="A10" t="s">
        <v>29</v>
      </c>
      <c r="B10">
        <v>909542</v>
      </c>
      <c r="C10">
        <v>27249878.32</v>
      </c>
    </row>
    <row r="11" spans="1:3" x14ac:dyDescent="0.25">
      <c r="A11" t="s">
        <v>99</v>
      </c>
      <c r="B11">
        <v>941992</v>
      </c>
      <c r="C11">
        <v>19800671.84</v>
      </c>
    </row>
    <row r="12" spans="1:3" x14ac:dyDescent="0.25">
      <c r="A12" t="s">
        <v>100</v>
      </c>
      <c r="B12">
        <v>540233</v>
      </c>
      <c r="C12">
        <v>21495871.07</v>
      </c>
    </row>
    <row r="13" spans="1:3" x14ac:dyDescent="0.25">
      <c r="A13" t="s">
        <v>101</v>
      </c>
      <c r="B13">
        <v>1149000</v>
      </c>
      <c r="C13">
        <v>35710920</v>
      </c>
    </row>
    <row r="14" spans="1:3" x14ac:dyDescent="0.25">
      <c r="A14" t="s">
        <v>102</v>
      </c>
      <c r="B14">
        <v>312510</v>
      </c>
      <c r="C14">
        <v>6187698</v>
      </c>
    </row>
    <row r="15" spans="1:3" x14ac:dyDescent="0.25">
      <c r="A15" t="s">
        <v>31</v>
      </c>
      <c r="B15">
        <v>2590888</v>
      </c>
      <c r="C15">
        <v>31582924.719999999</v>
      </c>
    </row>
    <row r="16" spans="1:3" x14ac:dyDescent="0.25">
      <c r="A16" t="s">
        <v>103</v>
      </c>
      <c r="B16">
        <v>63453</v>
      </c>
      <c r="C16">
        <v>1387082.58</v>
      </c>
    </row>
    <row r="17" spans="1:3" x14ac:dyDescent="0.25">
      <c r="A17" t="s">
        <v>104</v>
      </c>
      <c r="B17">
        <v>297391</v>
      </c>
      <c r="C17">
        <v>11500109.970000001</v>
      </c>
    </row>
    <row r="18" spans="1:3" x14ac:dyDescent="0.25">
      <c r="A18" t="s">
        <v>32</v>
      </c>
      <c r="B18">
        <v>1447018</v>
      </c>
      <c r="C18">
        <v>39894286.259999998</v>
      </c>
    </row>
    <row r="19" spans="1:3" x14ac:dyDescent="0.25">
      <c r="A19" t="s">
        <v>180</v>
      </c>
      <c r="B19">
        <v>524356</v>
      </c>
      <c r="C19">
        <v>8368721.7599999998</v>
      </c>
    </row>
    <row r="20" spans="1:3" x14ac:dyDescent="0.25">
      <c r="A20" t="s">
        <v>33</v>
      </c>
      <c r="B20">
        <v>982012</v>
      </c>
      <c r="C20">
        <v>21967608.440000001</v>
      </c>
    </row>
    <row r="21" spans="1:3" x14ac:dyDescent="0.25">
      <c r="A21" t="s">
        <v>105</v>
      </c>
      <c r="B21">
        <v>124596</v>
      </c>
      <c r="C21">
        <v>3203363.16</v>
      </c>
    </row>
    <row r="22" spans="1:3" x14ac:dyDescent="0.25">
      <c r="A22" t="s">
        <v>152</v>
      </c>
      <c r="B22">
        <v>887543</v>
      </c>
      <c r="C22">
        <v>7206849.1600000001</v>
      </c>
    </row>
    <row r="23" spans="1:3" x14ac:dyDescent="0.25">
      <c r="A23" t="s">
        <v>106</v>
      </c>
      <c r="B23">
        <v>538322</v>
      </c>
      <c r="C23">
        <v>16946376.559999999</v>
      </c>
    </row>
    <row r="24" spans="1:3" x14ac:dyDescent="0.25">
      <c r="A24" t="s">
        <v>35</v>
      </c>
      <c r="B24">
        <v>943249</v>
      </c>
      <c r="C24">
        <v>24090579.460000001</v>
      </c>
    </row>
    <row r="25" spans="1:3" x14ac:dyDescent="0.25">
      <c r="A25" t="s">
        <v>36</v>
      </c>
      <c r="B25">
        <v>122988</v>
      </c>
      <c r="C25">
        <v>3864282.96</v>
      </c>
    </row>
    <row r="26" spans="1:3" x14ac:dyDescent="0.25">
      <c r="A26" t="s">
        <v>145</v>
      </c>
      <c r="B26">
        <v>557767</v>
      </c>
      <c r="C26">
        <v>9783233.1799999997</v>
      </c>
    </row>
    <row r="27" spans="1:3" x14ac:dyDescent="0.25">
      <c r="A27" t="s">
        <v>107</v>
      </c>
      <c r="B27">
        <v>244682</v>
      </c>
      <c r="C27">
        <v>6168433.2199999997</v>
      </c>
    </row>
    <row r="28" spans="1:3" x14ac:dyDescent="0.25">
      <c r="A28" t="s">
        <v>37</v>
      </c>
      <c r="B28">
        <v>2212987</v>
      </c>
      <c r="C28">
        <v>37288830.950000003</v>
      </c>
    </row>
    <row r="29" spans="1:3" x14ac:dyDescent="0.25">
      <c r="A29" t="s">
        <v>108</v>
      </c>
      <c r="B29">
        <v>1055461</v>
      </c>
      <c r="C29">
        <v>12148356.109999999</v>
      </c>
    </row>
    <row r="30" spans="1:3" x14ac:dyDescent="0.25">
      <c r="A30" t="s">
        <v>109</v>
      </c>
      <c r="B30">
        <v>361664</v>
      </c>
      <c r="C30">
        <v>11808329.6</v>
      </c>
    </row>
    <row r="31" spans="1:3" x14ac:dyDescent="0.25">
      <c r="A31" t="s">
        <v>41</v>
      </c>
      <c r="B31">
        <v>489659</v>
      </c>
      <c r="C31">
        <v>25932340.640000001</v>
      </c>
    </row>
    <row r="32" spans="1:3" x14ac:dyDescent="0.25">
      <c r="A32" t="s">
        <v>42</v>
      </c>
      <c r="B32">
        <v>1499667</v>
      </c>
      <c r="C32">
        <v>30713180.16</v>
      </c>
    </row>
    <row r="33" spans="1:3" x14ac:dyDescent="0.25">
      <c r="A33" t="s">
        <v>110</v>
      </c>
      <c r="B33">
        <v>129635</v>
      </c>
      <c r="C33">
        <v>1693033.1</v>
      </c>
    </row>
    <row r="34" spans="1:3" x14ac:dyDescent="0.25">
      <c r="A34" t="s">
        <v>111</v>
      </c>
      <c r="B34">
        <v>1936721</v>
      </c>
      <c r="C34">
        <v>14370469.82</v>
      </c>
    </row>
    <row r="35" spans="1:3" x14ac:dyDescent="0.25">
      <c r="A35" t="s">
        <v>112</v>
      </c>
      <c r="B35">
        <v>384570</v>
      </c>
      <c r="C35">
        <v>11387117.699999999</v>
      </c>
    </row>
    <row r="36" spans="1:3" x14ac:dyDescent="0.25">
      <c r="A36" t="s">
        <v>113</v>
      </c>
      <c r="B36">
        <v>373521</v>
      </c>
      <c r="C36">
        <v>6204183.8099999996</v>
      </c>
    </row>
    <row r="37" spans="1:3" x14ac:dyDescent="0.25">
      <c r="A37" t="s">
        <v>43</v>
      </c>
      <c r="B37">
        <v>1570800</v>
      </c>
      <c r="C37">
        <v>27473292</v>
      </c>
    </row>
    <row r="38" spans="1:3" x14ac:dyDescent="0.25">
      <c r="A38" t="s">
        <v>114</v>
      </c>
      <c r="B38">
        <v>59272</v>
      </c>
      <c r="C38">
        <v>2359025.6</v>
      </c>
    </row>
    <row r="39" spans="1:3" x14ac:dyDescent="0.25">
      <c r="A39" t="s">
        <v>138</v>
      </c>
      <c r="B39">
        <v>159323</v>
      </c>
      <c r="C39">
        <v>2708491</v>
      </c>
    </row>
    <row r="40" spans="1:3" x14ac:dyDescent="0.25">
      <c r="A40" t="s">
        <v>115</v>
      </c>
      <c r="B40">
        <v>287539</v>
      </c>
      <c r="C40">
        <v>11921366.939999999</v>
      </c>
    </row>
    <row r="41" spans="1:3" x14ac:dyDescent="0.25">
      <c r="A41" t="s">
        <v>116</v>
      </c>
      <c r="B41">
        <v>173479</v>
      </c>
      <c r="C41">
        <v>8441488.1400000006</v>
      </c>
    </row>
    <row r="42" spans="1:3" x14ac:dyDescent="0.25">
      <c r="A42" t="s">
        <v>268</v>
      </c>
      <c r="B42">
        <v>24404</v>
      </c>
      <c r="C42">
        <v>685752.4</v>
      </c>
    </row>
    <row r="43" spans="1:3" x14ac:dyDescent="0.25">
      <c r="A43" t="s">
        <v>45</v>
      </c>
      <c r="B43">
        <v>1974018</v>
      </c>
      <c r="C43">
        <v>12140210.699999999</v>
      </c>
    </row>
    <row r="44" spans="1:3" x14ac:dyDescent="0.25">
      <c r="A44" t="s">
        <v>202</v>
      </c>
      <c r="B44">
        <v>38324</v>
      </c>
      <c r="C44">
        <v>1494636</v>
      </c>
    </row>
    <row r="45" spans="1:3" x14ac:dyDescent="0.25">
      <c r="A45" t="s">
        <v>118</v>
      </c>
      <c r="B45">
        <v>215531</v>
      </c>
      <c r="C45">
        <v>5961587.46</v>
      </c>
    </row>
    <row r="46" spans="1:3" x14ac:dyDescent="0.25">
      <c r="A46" t="s">
        <v>203</v>
      </c>
      <c r="B46">
        <v>12700</v>
      </c>
      <c r="C46">
        <v>869950</v>
      </c>
    </row>
    <row r="47" spans="1:3" x14ac:dyDescent="0.25">
      <c r="A47" t="s">
        <v>204</v>
      </c>
      <c r="B47">
        <v>18500</v>
      </c>
      <c r="C47">
        <v>6003250</v>
      </c>
    </row>
    <row r="48" spans="1:3" x14ac:dyDescent="0.25">
      <c r="A48" t="s">
        <v>119</v>
      </c>
      <c r="B48">
        <v>660245</v>
      </c>
      <c r="C48">
        <v>2640980</v>
      </c>
    </row>
    <row r="49" spans="1:3" x14ac:dyDescent="0.25">
      <c r="A49" t="s">
        <v>120</v>
      </c>
      <c r="B49">
        <v>137423</v>
      </c>
      <c r="C49">
        <v>1842842.43</v>
      </c>
    </row>
    <row r="50" spans="1:3" x14ac:dyDescent="0.25">
      <c r="A50" t="s">
        <v>121</v>
      </c>
      <c r="B50">
        <v>315268</v>
      </c>
      <c r="C50">
        <v>4227743.88</v>
      </c>
    </row>
    <row r="51" spans="1:3" x14ac:dyDescent="0.25">
      <c r="A51" t="s">
        <v>122</v>
      </c>
      <c r="B51">
        <v>53607</v>
      </c>
      <c r="C51">
        <v>219788.7</v>
      </c>
    </row>
    <row r="52" spans="1:3" x14ac:dyDescent="0.25">
      <c r="A52" t="s">
        <v>123</v>
      </c>
      <c r="B52">
        <v>418653</v>
      </c>
      <c r="C52">
        <v>8080002.9000000004</v>
      </c>
    </row>
    <row r="53" spans="1:3" x14ac:dyDescent="0.25">
      <c r="A53" t="s">
        <v>124</v>
      </c>
      <c r="B53">
        <v>26329</v>
      </c>
      <c r="C53">
        <v>0</v>
      </c>
    </row>
    <row r="54" spans="1:3" x14ac:dyDescent="0.25">
      <c r="A54" t="s">
        <v>125</v>
      </c>
      <c r="B54">
        <v>98715</v>
      </c>
      <c r="C54">
        <v>394860</v>
      </c>
    </row>
    <row r="55" spans="1:3" x14ac:dyDescent="0.25">
      <c r="A55" t="s">
        <v>175</v>
      </c>
      <c r="B55">
        <v>54000</v>
      </c>
      <c r="C55">
        <v>153360</v>
      </c>
    </row>
    <row r="56" spans="1:3" x14ac:dyDescent="0.25">
      <c r="A56" t="s">
        <v>205</v>
      </c>
      <c r="B56">
        <v>-12700</v>
      </c>
      <c r="C56">
        <v>-3048000</v>
      </c>
    </row>
    <row r="57" spans="1:3" x14ac:dyDescent="0.25">
      <c r="A57" t="s">
        <v>206</v>
      </c>
      <c r="B57">
        <v>-18500</v>
      </c>
      <c r="C57">
        <v>-3783250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1BABF-074E-4BF5-9D38-49D35741CB7A}">
  <sheetPr codeName="Sheet1"/>
  <dimension ref="A1:C18"/>
  <sheetViews>
    <sheetView workbookViewId="0">
      <selection activeCell="A2" sqref="A2:C18"/>
    </sheetView>
  </sheetViews>
  <sheetFormatPr defaultRowHeight="15" x14ac:dyDescent="0.25"/>
  <cols>
    <col min="1" max="2" width="7.5703125" bestFit="1" customWidth="1"/>
    <col min="3" max="3" width="17" bestFit="1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 t="s">
        <v>94</v>
      </c>
      <c r="B2">
        <v>147779</v>
      </c>
      <c r="C2">
        <v>5201820.8</v>
      </c>
    </row>
    <row r="3" spans="1:3" x14ac:dyDescent="0.25">
      <c r="A3" t="s">
        <v>98</v>
      </c>
      <c r="B3">
        <v>440186</v>
      </c>
      <c r="C3">
        <v>6976948.0999999996</v>
      </c>
    </row>
    <row r="4" spans="1:3" x14ac:dyDescent="0.25">
      <c r="A4" t="s">
        <v>29</v>
      </c>
      <c r="B4">
        <v>73437</v>
      </c>
      <c r="C4">
        <v>2200172.52</v>
      </c>
    </row>
    <row r="5" spans="1:3" x14ac:dyDescent="0.25">
      <c r="A5" t="s">
        <v>101</v>
      </c>
      <c r="B5">
        <v>169506</v>
      </c>
      <c r="C5">
        <v>5268246.4800000004</v>
      </c>
    </row>
    <row r="6" spans="1:3" x14ac:dyDescent="0.25">
      <c r="A6" t="s">
        <v>104</v>
      </c>
      <c r="B6">
        <v>326468</v>
      </c>
      <c r="C6">
        <v>12624517.560000001</v>
      </c>
    </row>
    <row r="7" spans="1:3" x14ac:dyDescent="0.25">
      <c r="A7" t="s">
        <v>33</v>
      </c>
      <c r="B7">
        <v>306646</v>
      </c>
      <c r="C7">
        <v>6859671.0199999996</v>
      </c>
    </row>
    <row r="8" spans="1:3" x14ac:dyDescent="0.25">
      <c r="A8" t="s">
        <v>35</v>
      </c>
      <c r="B8">
        <v>315636</v>
      </c>
      <c r="C8">
        <v>8061343.4400000004</v>
      </c>
    </row>
    <row r="9" spans="1:3" x14ac:dyDescent="0.25">
      <c r="A9" t="s">
        <v>144</v>
      </c>
      <c r="B9">
        <v>162084</v>
      </c>
      <c r="C9">
        <v>6963128.6399999997</v>
      </c>
    </row>
    <row r="10" spans="1:3" x14ac:dyDescent="0.25">
      <c r="A10" t="s">
        <v>145</v>
      </c>
      <c r="B10">
        <v>137165</v>
      </c>
      <c r="C10">
        <v>2405874.1</v>
      </c>
    </row>
    <row r="11" spans="1:3" x14ac:dyDescent="0.25">
      <c r="A11" t="s">
        <v>37</v>
      </c>
      <c r="B11">
        <v>108047</v>
      </c>
      <c r="C11">
        <v>1820591.95</v>
      </c>
    </row>
    <row r="12" spans="1:3" x14ac:dyDescent="0.25">
      <c r="A12" t="s">
        <v>146</v>
      </c>
      <c r="B12">
        <v>408947</v>
      </c>
      <c r="C12">
        <v>10244122.35</v>
      </c>
    </row>
    <row r="13" spans="1:3" x14ac:dyDescent="0.25">
      <c r="A13" t="s">
        <v>41</v>
      </c>
      <c r="B13">
        <v>145852</v>
      </c>
      <c r="C13">
        <v>7724321.9199999999</v>
      </c>
    </row>
    <row r="14" spans="1:3" x14ac:dyDescent="0.25">
      <c r="A14" t="s">
        <v>111</v>
      </c>
      <c r="B14">
        <v>236848</v>
      </c>
      <c r="C14">
        <v>1757412.16</v>
      </c>
    </row>
    <row r="15" spans="1:3" x14ac:dyDescent="0.25">
      <c r="A15" t="s">
        <v>43</v>
      </c>
      <c r="B15">
        <v>152641</v>
      </c>
      <c r="C15">
        <v>2669691.09</v>
      </c>
    </row>
    <row r="16" spans="1:3" x14ac:dyDescent="0.25">
      <c r="A16" t="s">
        <v>116</v>
      </c>
      <c r="B16">
        <v>235569</v>
      </c>
      <c r="C16">
        <v>11462787.539999999</v>
      </c>
    </row>
    <row r="17" spans="1:3" x14ac:dyDescent="0.25">
      <c r="A17" t="s">
        <v>47</v>
      </c>
      <c r="B17">
        <v>4999</v>
      </c>
      <c r="C17">
        <v>137422.51</v>
      </c>
    </row>
    <row r="18" spans="1:3" x14ac:dyDescent="0.25">
      <c r="A18" t="s">
        <v>117</v>
      </c>
      <c r="B18">
        <v>885730</v>
      </c>
      <c r="C18">
        <v>25393879.100000001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242B4-D2A9-4A84-8F00-F241B8B02A7C}">
  <sheetPr codeName="Sheet4"/>
  <dimension ref="A1:C189"/>
  <sheetViews>
    <sheetView topLeftCell="A162" workbookViewId="0">
      <selection activeCell="A2" sqref="A2:C189"/>
    </sheetView>
  </sheetViews>
  <sheetFormatPr defaultRowHeight="15" x14ac:dyDescent="0.25"/>
  <cols>
    <col min="1" max="2" width="10.140625" bestFit="1" customWidth="1"/>
    <col min="3" max="3" width="17" bestFit="1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 s="6" t="s">
        <v>257</v>
      </c>
      <c r="B2">
        <v>8333</v>
      </c>
      <c r="C2" s="5">
        <v>130778.1</v>
      </c>
    </row>
    <row r="3" spans="1:3" x14ac:dyDescent="0.25">
      <c r="A3" t="s">
        <v>20</v>
      </c>
      <c r="B3">
        <v>2386</v>
      </c>
      <c r="C3" s="5">
        <v>305789.76</v>
      </c>
    </row>
    <row r="4" spans="1:3" x14ac:dyDescent="0.25">
      <c r="A4" s="6" t="s">
        <v>21</v>
      </c>
      <c r="B4">
        <v>977</v>
      </c>
      <c r="C4" s="5">
        <v>134845.54</v>
      </c>
    </row>
    <row r="5" spans="1:3" x14ac:dyDescent="0.25">
      <c r="A5" t="s">
        <v>22</v>
      </c>
      <c r="B5">
        <v>4478</v>
      </c>
      <c r="C5" s="5">
        <v>274187.94</v>
      </c>
    </row>
    <row r="6" spans="1:3" x14ac:dyDescent="0.25">
      <c r="A6" t="s">
        <v>233</v>
      </c>
      <c r="B6">
        <v>14357</v>
      </c>
      <c r="C6" s="5">
        <v>217652.12</v>
      </c>
    </row>
    <row r="7" spans="1:3" x14ac:dyDescent="0.25">
      <c r="A7" s="6" t="s">
        <v>213</v>
      </c>
      <c r="B7">
        <v>682</v>
      </c>
      <c r="C7" s="5">
        <v>57738.12</v>
      </c>
    </row>
    <row r="8" spans="1:3" x14ac:dyDescent="0.25">
      <c r="A8" t="s">
        <v>225</v>
      </c>
      <c r="B8">
        <v>898</v>
      </c>
      <c r="C8" s="5">
        <v>55667.02</v>
      </c>
    </row>
    <row r="9" spans="1:3" x14ac:dyDescent="0.25">
      <c r="A9" s="6" t="s">
        <v>23</v>
      </c>
      <c r="B9">
        <v>6318</v>
      </c>
      <c r="C9" s="5">
        <v>70887.960000000006</v>
      </c>
    </row>
    <row r="10" spans="1:3" x14ac:dyDescent="0.25">
      <c r="A10" s="6" t="s">
        <v>25</v>
      </c>
      <c r="B10">
        <v>3978</v>
      </c>
      <c r="C10" s="5">
        <v>274800.24</v>
      </c>
    </row>
    <row r="11" spans="1:3" x14ac:dyDescent="0.25">
      <c r="A11" s="6" t="s">
        <v>26</v>
      </c>
      <c r="B11">
        <v>7206</v>
      </c>
      <c r="C11" s="5">
        <v>585271.31999999995</v>
      </c>
    </row>
    <row r="12" spans="1:3" x14ac:dyDescent="0.25">
      <c r="A12" s="6" t="s">
        <v>27</v>
      </c>
      <c r="B12">
        <v>2392</v>
      </c>
      <c r="C12" s="5">
        <v>87212.32</v>
      </c>
    </row>
    <row r="13" spans="1:3" x14ac:dyDescent="0.25">
      <c r="A13" s="6" t="s">
        <v>28</v>
      </c>
      <c r="B13">
        <v>3287</v>
      </c>
      <c r="C13" s="5">
        <v>404465.35</v>
      </c>
    </row>
    <row r="14" spans="1:3" x14ac:dyDescent="0.25">
      <c r="A14" s="6" t="s">
        <v>211</v>
      </c>
      <c r="B14">
        <v>917</v>
      </c>
      <c r="C14" s="5">
        <v>195724.48</v>
      </c>
    </row>
    <row r="15" spans="1:3" x14ac:dyDescent="0.25">
      <c r="A15" t="s">
        <v>150</v>
      </c>
      <c r="B15">
        <v>15214</v>
      </c>
      <c r="C15" s="5">
        <v>369091.64</v>
      </c>
    </row>
    <row r="16" spans="1:3" x14ac:dyDescent="0.25">
      <c r="A16" s="6" t="s">
        <v>151</v>
      </c>
      <c r="B16">
        <v>21800</v>
      </c>
      <c r="C16" s="5">
        <v>538242</v>
      </c>
    </row>
    <row r="17" spans="1:3" x14ac:dyDescent="0.25">
      <c r="A17" s="6" t="s">
        <v>209</v>
      </c>
      <c r="B17">
        <v>40</v>
      </c>
      <c r="C17" s="5">
        <v>1626.4</v>
      </c>
    </row>
    <row r="18" spans="1:3" x14ac:dyDescent="0.25">
      <c r="A18" s="6" t="s">
        <v>258</v>
      </c>
      <c r="B18">
        <v>13694</v>
      </c>
      <c r="C18" s="5">
        <v>202397.32</v>
      </c>
    </row>
    <row r="19" spans="1:3" x14ac:dyDescent="0.25">
      <c r="A19" s="6" t="s">
        <v>29</v>
      </c>
      <c r="B19">
        <v>21798</v>
      </c>
      <c r="C19" s="5">
        <v>653068.07999999996</v>
      </c>
    </row>
    <row r="20" spans="1:3" x14ac:dyDescent="0.25">
      <c r="A20" s="6" t="s">
        <v>99</v>
      </c>
      <c r="B20">
        <v>33284</v>
      </c>
      <c r="C20" s="5">
        <v>699629.68</v>
      </c>
    </row>
    <row r="21" spans="1:3" x14ac:dyDescent="0.25">
      <c r="A21" s="6" t="s">
        <v>101</v>
      </c>
      <c r="B21">
        <v>41642</v>
      </c>
      <c r="C21" s="5">
        <v>1294233.3600000001</v>
      </c>
    </row>
    <row r="22" spans="1:3" x14ac:dyDescent="0.25">
      <c r="A22" s="6" t="s">
        <v>30</v>
      </c>
      <c r="B22">
        <v>1866</v>
      </c>
      <c r="C22" s="5">
        <v>366258.48</v>
      </c>
    </row>
    <row r="23" spans="1:3" x14ac:dyDescent="0.25">
      <c r="A23" t="s">
        <v>179</v>
      </c>
      <c r="B23">
        <v>20277</v>
      </c>
      <c r="C23" s="5">
        <v>283066.92</v>
      </c>
    </row>
    <row r="24" spans="1:3" x14ac:dyDescent="0.25">
      <c r="A24" s="6" t="s">
        <v>166</v>
      </c>
      <c r="B24">
        <v>17801</v>
      </c>
      <c r="C24" s="5">
        <v>257580.47</v>
      </c>
    </row>
    <row r="25" spans="1:3" x14ac:dyDescent="0.25">
      <c r="A25" s="6" t="s">
        <v>31</v>
      </c>
      <c r="B25">
        <v>73451</v>
      </c>
      <c r="C25" s="5">
        <v>895367.69</v>
      </c>
    </row>
    <row r="26" spans="1:3" x14ac:dyDescent="0.25">
      <c r="A26" s="6" t="s">
        <v>104</v>
      </c>
      <c r="B26">
        <v>14683</v>
      </c>
      <c r="C26" s="5">
        <v>567791.61</v>
      </c>
    </row>
    <row r="27" spans="1:3" x14ac:dyDescent="0.25">
      <c r="A27" s="6" t="s">
        <v>32</v>
      </c>
      <c r="B27">
        <v>33132</v>
      </c>
      <c r="C27" s="5">
        <v>913449.24</v>
      </c>
    </row>
    <row r="28" spans="1:3" x14ac:dyDescent="0.25">
      <c r="A28" s="6" t="s">
        <v>180</v>
      </c>
      <c r="B28">
        <v>22528</v>
      </c>
      <c r="C28" s="5">
        <v>359546.88</v>
      </c>
    </row>
    <row r="29" spans="1:3" x14ac:dyDescent="0.25">
      <c r="A29" s="6" t="s">
        <v>33</v>
      </c>
      <c r="B29">
        <v>16768</v>
      </c>
      <c r="C29" s="5">
        <v>375100.15999999997</v>
      </c>
    </row>
    <row r="30" spans="1:3" x14ac:dyDescent="0.25">
      <c r="A30" s="6" t="s">
        <v>210</v>
      </c>
      <c r="B30">
        <v>5373</v>
      </c>
      <c r="C30" s="5">
        <v>442036.71</v>
      </c>
    </row>
    <row r="31" spans="1:3" x14ac:dyDescent="0.25">
      <c r="A31" s="6" t="s">
        <v>34</v>
      </c>
      <c r="B31">
        <v>25453</v>
      </c>
      <c r="C31" s="5">
        <v>288382.49</v>
      </c>
    </row>
    <row r="32" spans="1:3" x14ac:dyDescent="0.25">
      <c r="A32" s="6" t="s">
        <v>273</v>
      </c>
      <c r="B32">
        <v>2838</v>
      </c>
      <c r="C32" s="5">
        <v>172862.58</v>
      </c>
    </row>
    <row r="33" spans="1:3" x14ac:dyDescent="0.25">
      <c r="A33" t="s">
        <v>153</v>
      </c>
      <c r="B33">
        <v>7561</v>
      </c>
      <c r="C33" s="5">
        <v>300247.31</v>
      </c>
    </row>
    <row r="34" spans="1:3" x14ac:dyDescent="0.25">
      <c r="A34" s="6" t="s">
        <v>77</v>
      </c>
      <c r="B34">
        <v>210</v>
      </c>
      <c r="C34" s="5">
        <v>294241.5</v>
      </c>
    </row>
    <row r="35" spans="1:3" x14ac:dyDescent="0.25">
      <c r="A35" t="s">
        <v>227</v>
      </c>
      <c r="B35">
        <v>1295</v>
      </c>
      <c r="C35">
        <v>141841.35</v>
      </c>
    </row>
    <row r="36" spans="1:3" x14ac:dyDescent="0.25">
      <c r="A36" t="s">
        <v>220</v>
      </c>
      <c r="B36">
        <v>26756</v>
      </c>
      <c r="C36">
        <v>325352.96000000002</v>
      </c>
    </row>
    <row r="37" spans="1:3" x14ac:dyDescent="0.25">
      <c r="A37" t="s">
        <v>35</v>
      </c>
      <c r="B37">
        <v>43748</v>
      </c>
      <c r="C37">
        <v>1117323.92</v>
      </c>
    </row>
    <row r="38" spans="1:3" x14ac:dyDescent="0.25">
      <c r="A38" t="s">
        <v>36</v>
      </c>
      <c r="B38">
        <v>4251</v>
      </c>
      <c r="C38">
        <v>133566.42000000001</v>
      </c>
    </row>
    <row r="39" spans="1:3" x14ac:dyDescent="0.25">
      <c r="A39" t="s">
        <v>228</v>
      </c>
      <c r="B39">
        <v>9140</v>
      </c>
      <c r="C39">
        <v>273925.8</v>
      </c>
    </row>
    <row r="40" spans="1:3" x14ac:dyDescent="0.25">
      <c r="A40" t="s">
        <v>267</v>
      </c>
      <c r="B40">
        <v>3462</v>
      </c>
      <c r="C40">
        <v>70555.56</v>
      </c>
    </row>
    <row r="41" spans="1:3" x14ac:dyDescent="0.25">
      <c r="A41" t="s">
        <v>145</v>
      </c>
      <c r="B41">
        <v>20280</v>
      </c>
      <c r="C41">
        <v>355711.2</v>
      </c>
    </row>
    <row r="42" spans="1:3" x14ac:dyDescent="0.25">
      <c r="A42" t="s">
        <v>37</v>
      </c>
      <c r="B42">
        <v>36287</v>
      </c>
      <c r="C42">
        <v>611435.94999999995</v>
      </c>
    </row>
    <row r="43" spans="1:3" x14ac:dyDescent="0.25">
      <c r="A43" t="s">
        <v>169</v>
      </c>
      <c r="B43">
        <v>6156</v>
      </c>
      <c r="C43">
        <v>424517.76</v>
      </c>
    </row>
    <row r="44" spans="1:3" x14ac:dyDescent="0.25">
      <c r="A44" t="s">
        <v>38</v>
      </c>
      <c r="B44">
        <v>6733</v>
      </c>
      <c r="C44">
        <v>227440.74</v>
      </c>
    </row>
    <row r="45" spans="1:3" x14ac:dyDescent="0.25">
      <c r="A45" t="s">
        <v>259</v>
      </c>
      <c r="B45">
        <v>1225</v>
      </c>
      <c r="C45">
        <v>84427</v>
      </c>
    </row>
    <row r="46" spans="1:3" x14ac:dyDescent="0.25">
      <c r="A46" t="s">
        <v>39</v>
      </c>
      <c r="B46">
        <v>5169</v>
      </c>
      <c r="C46">
        <v>713218.62</v>
      </c>
    </row>
    <row r="47" spans="1:3" x14ac:dyDescent="0.25">
      <c r="A47" t="s">
        <v>40</v>
      </c>
      <c r="B47">
        <v>2280</v>
      </c>
      <c r="C47">
        <v>298452</v>
      </c>
    </row>
    <row r="48" spans="1:3" x14ac:dyDescent="0.25">
      <c r="A48" t="s">
        <v>181</v>
      </c>
      <c r="B48">
        <v>6145</v>
      </c>
      <c r="C48">
        <v>359113.8</v>
      </c>
    </row>
    <row r="49" spans="1:3" x14ac:dyDescent="0.25">
      <c r="A49" t="s">
        <v>182</v>
      </c>
      <c r="B49">
        <v>3453</v>
      </c>
      <c r="C49">
        <v>116573.28</v>
      </c>
    </row>
    <row r="50" spans="1:3" x14ac:dyDescent="0.25">
      <c r="A50" t="s">
        <v>42</v>
      </c>
      <c r="B50">
        <v>53680</v>
      </c>
      <c r="C50">
        <v>1099366.3999999999</v>
      </c>
    </row>
    <row r="51" spans="1:3" x14ac:dyDescent="0.25">
      <c r="A51" t="s">
        <v>260</v>
      </c>
      <c r="B51">
        <v>24893</v>
      </c>
      <c r="C51">
        <v>213084.08</v>
      </c>
    </row>
    <row r="52" spans="1:3" x14ac:dyDescent="0.25">
      <c r="A52" t="s">
        <v>183</v>
      </c>
      <c r="B52">
        <v>448</v>
      </c>
      <c r="C52">
        <v>168976.64000000001</v>
      </c>
    </row>
    <row r="53" spans="1:3" x14ac:dyDescent="0.25">
      <c r="A53" t="s">
        <v>43</v>
      </c>
      <c r="B53">
        <v>65943</v>
      </c>
      <c r="C53">
        <v>1153343.07</v>
      </c>
    </row>
    <row r="54" spans="1:3" x14ac:dyDescent="0.25">
      <c r="A54" t="s">
        <v>44</v>
      </c>
      <c r="B54">
        <v>16702</v>
      </c>
      <c r="C54">
        <v>320010.32</v>
      </c>
    </row>
    <row r="55" spans="1:3" x14ac:dyDescent="0.25">
      <c r="A55" t="s">
        <v>116</v>
      </c>
      <c r="B55">
        <v>5989</v>
      </c>
      <c r="C55">
        <v>291424.74</v>
      </c>
    </row>
    <row r="56" spans="1:3" x14ac:dyDescent="0.25">
      <c r="A56" t="s">
        <v>154</v>
      </c>
      <c r="B56">
        <v>5962</v>
      </c>
      <c r="C56">
        <v>477258.1</v>
      </c>
    </row>
    <row r="57" spans="1:3" x14ac:dyDescent="0.25">
      <c r="A57" t="s">
        <v>268</v>
      </c>
      <c r="B57">
        <v>890</v>
      </c>
      <c r="C57">
        <v>25009</v>
      </c>
    </row>
    <row r="58" spans="1:3" x14ac:dyDescent="0.25">
      <c r="A58" t="s">
        <v>212</v>
      </c>
      <c r="B58">
        <v>13201</v>
      </c>
      <c r="C58">
        <v>391277.64</v>
      </c>
    </row>
    <row r="59" spans="1:3" x14ac:dyDescent="0.25">
      <c r="A59" t="s">
        <v>45</v>
      </c>
      <c r="B59">
        <v>68029</v>
      </c>
      <c r="C59">
        <v>418378.35</v>
      </c>
    </row>
    <row r="60" spans="1:3" x14ac:dyDescent="0.25">
      <c r="A60" t="s">
        <v>234</v>
      </c>
      <c r="B60">
        <v>7256</v>
      </c>
      <c r="C60">
        <v>437246.56</v>
      </c>
    </row>
    <row r="61" spans="1:3" x14ac:dyDescent="0.25">
      <c r="A61" t="s">
        <v>251</v>
      </c>
      <c r="B61">
        <v>17772</v>
      </c>
      <c r="C61">
        <v>155327.28</v>
      </c>
    </row>
    <row r="62" spans="1:3" x14ac:dyDescent="0.25">
      <c r="A62" t="s">
        <v>269</v>
      </c>
      <c r="B62">
        <v>2909</v>
      </c>
      <c r="C62">
        <v>56376.42</v>
      </c>
    </row>
    <row r="63" spans="1:3" x14ac:dyDescent="0.25">
      <c r="A63" t="s">
        <v>48</v>
      </c>
      <c r="B63">
        <v>659</v>
      </c>
      <c r="C63">
        <v>152163.1</v>
      </c>
    </row>
    <row r="64" spans="1:3" x14ac:dyDescent="0.25">
      <c r="A64" t="s">
        <v>184</v>
      </c>
      <c r="B64">
        <v>2195</v>
      </c>
      <c r="C64">
        <v>164361.60000000001</v>
      </c>
    </row>
    <row r="65" spans="1:3" x14ac:dyDescent="0.25">
      <c r="A65" t="s">
        <v>49</v>
      </c>
      <c r="B65">
        <v>-2809</v>
      </c>
      <c r="C65">
        <v>-138989.32</v>
      </c>
    </row>
    <row r="66" spans="1:3" x14ac:dyDescent="0.25">
      <c r="A66" t="s">
        <v>50</v>
      </c>
      <c r="B66">
        <v>-4594</v>
      </c>
      <c r="C66">
        <v>-71390.759999999995</v>
      </c>
    </row>
    <row r="67" spans="1:3" x14ac:dyDescent="0.25">
      <c r="A67" t="s">
        <v>156</v>
      </c>
      <c r="B67">
        <v>-913</v>
      </c>
      <c r="C67">
        <v>-58998.06</v>
      </c>
    </row>
    <row r="68" spans="1:3" x14ac:dyDescent="0.25">
      <c r="A68" t="s">
        <v>245</v>
      </c>
      <c r="B68">
        <v>-22582</v>
      </c>
      <c r="C68">
        <v>-214980.64</v>
      </c>
    </row>
    <row r="69" spans="1:3" x14ac:dyDescent="0.25">
      <c r="A69" t="s">
        <v>261</v>
      </c>
      <c r="B69">
        <v>-870</v>
      </c>
      <c r="C69">
        <v>-29440.799999999999</v>
      </c>
    </row>
    <row r="70" spans="1:3" x14ac:dyDescent="0.25">
      <c r="A70" t="s">
        <v>157</v>
      </c>
      <c r="B70">
        <v>-949</v>
      </c>
      <c r="C70">
        <v>-32911.32</v>
      </c>
    </row>
    <row r="71" spans="1:3" x14ac:dyDescent="0.25">
      <c r="A71" t="s">
        <v>177</v>
      </c>
      <c r="B71">
        <v>-4553</v>
      </c>
      <c r="C71">
        <v>-250688.18</v>
      </c>
    </row>
    <row r="72" spans="1:3" x14ac:dyDescent="0.25">
      <c r="A72" t="s">
        <v>262</v>
      </c>
      <c r="B72">
        <v>-2856</v>
      </c>
      <c r="C72">
        <v>-69115.199999999997</v>
      </c>
    </row>
    <row r="73" spans="1:3" x14ac:dyDescent="0.25">
      <c r="A73" t="s">
        <v>235</v>
      </c>
      <c r="B73">
        <v>-429</v>
      </c>
      <c r="C73">
        <v>-27533.22</v>
      </c>
    </row>
    <row r="74" spans="1:3" x14ac:dyDescent="0.25">
      <c r="A74" t="s">
        <v>221</v>
      </c>
      <c r="B74">
        <v>-9869</v>
      </c>
      <c r="C74">
        <v>-123066.43</v>
      </c>
    </row>
    <row r="75" spans="1:3" x14ac:dyDescent="0.25">
      <c r="A75" t="s">
        <v>246</v>
      </c>
      <c r="B75">
        <v>-766</v>
      </c>
      <c r="C75">
        <v>-28449.24</v>
      </c>
    </row>
    <row r="76" spans="1:3" x14ac:dyDescent="0.25">
      <c r="A76" t="s">
        <v>236</v>
      </c>
      <c r="B76">
        <v>-6243</v>
      </c>
      <c r="C76">
        <v>-141903.39000000001</v>
      </c>
    </row>
    <row r="77" spans="1:3" x14ac:dyDescent="0.25">
      <c r="A77" t="s">
        <v>51</v>
      </c>
      <c r="B77">
        <v>-425</v>
      </c>
      <c r="C77">
        <v>-56206.25</v>
      </c>
    </row>
    <row r="78" spans="1:3" x14ac:dyDescent="0.25">
      <c r="A78" t="s">
        <v>52</v>
      </c>
      <c r="B78">
        <v>-315</v>
      </c>
      <c r="C78">
        <v>-97829.55</v>
      </c>
    </row>
    <row r="79" spans="1:3" x14ac:dyDescent="0.25">
      <c r="A79" t="s">
        <v>158</v>
      </c>
      <c r="B79">
        <v>-4432</v>
      </c>
      <c r="C79">
        <v>-58901.279999999999</v>
      </c>
    </row>
    <row r="80" spans="1:3" x14ac:dyDescent="0.25">
      <c r="A80" t="s">
        <v>159</v>
      </c>
      <c r="B80">
        <v>-532</v>
      </c>
      <c r="C80">
        <v>-30084.6</v>
      </c>
    </row>
    <row r="81" spans="1:3" x14ac:dyDescent="0.25">
      <c r="A81" t="s">
        <v>160</v>
      </c>
      <c r="B81">
        <v>-584</v>
      </c>
      <c r="C81">
        <v>-17385.68</v>
      </c>
    </row>
    <row r="82" spans="1:3" x14ac:dyDescent="0.25">
      <c r="A82" t="s">
        <v>229</v>
      </c>
      <c r="B82">
        <v>-3499</v>
      </c>
      <c r="C82">
        <v>-70084.97</v>
      </c>
    </row>
    <row r="83" spans="1:3" x14ac:dyDescent="0.25">
      <c r="A83" t="s">
        <v>185</v>
      </c>
      <c r="B83">
        <v>-3241</v>
      </c>
      <c r="C83">
        <v>-160494.32</v>
      </c>
    </row>
    <row r="84" spans="1:3" x14ac:dyDescent="0.25">
      <c r="A84" t="s">
        <v>53</v>
      </c>
      <c r="B84">
        <v>-11296</v>
      </c>
      <c r="C84">
        <v>-499735.03999999998</v>
      </c>
    </row>
    <row r="85" spans="1:3" x14ac:dyDescent="0.25">
      <c r="A85" t="s">
        <v>222</v>
      </c>
      <c r="B85">
        <v>-16085</v>
      </c>
      <c r="C85">
        <v>-121280.9</v>
      </c>
    </row>
    <row r="86" spans="1:3" x14ac:dyDescent="0.25">
      <c r="A86" t="s">
        <v>186</v>
      </c>
      <c r="B86">
        <v>-790</v>
      </c>
      <c r="C86">
        <v>-90304.9</v>
      </c>
    </row>
    <row r="87" spans="1:3" x14ac:dyDescent="0.25">
      <c r="A87" t="s">
        <v>54</v>
      </c>
      <c r="B87">
        <v>-7980</v>
      </c>
      <c r="C87">
        <v>-132148.79999999999</v>
      </c>
    </row>
    <row r="88" spans="1:3" x14ac:dyDescent="0.25">
      <c r="A88" t="s">
        <v>55</v>
      </c>
      <c r="B88">
        <v>-2297</v>
      </c>
      <c r="C88">
        <v>-97990.02</v>
      </c>
    </row>
    <row r="89" spans="1:3" x14ac:dyDescent="0.25">
      <c r="A89" t="s">
        <v>56</v>
      </c>
      <c r="B89">
        <v>-3054</v>
      </c>
      <c r="C89">
        <v>-229111.08</v>
      </c>
    </row>
    <row r="90" spans="1:3" x14ac:dyDescent="0.25">
      <c r="A90" t="s">
        <v>57</v>
      </c>
      <c r="B90">
        <v>-1651</v>
      </c>
      <c r="C90">
        <v>-109032.04</v>
      </c>
    </row>
    <row r="91" spans="1:3" x14ac:dyDescent="0.25">
      <c r="A91" t="s">
        <v>140</v>
      </c>
      <c r="B91">
        <v>-2259</v>
      </c>
      <c r="C91">
        <v>-131903.01</v>
      </c>
    </row>
    <row r="92" spans="1:3" x14ac:dyDescent="0.25">
      <c r="A92" t="s">
        <v>263</v>
      </c>
      <c r="B92">
        <v>-5442</v>
      </c>
      <c r="C92">
        <v>-73956.78</v>
      </c>
    </row>
    <row r="93" spans="1:3" x14ac:dyDescent="0.25">
      <c r="A93" t="s">
        <v>58</v>
      </c>
      <c r="B93">
        <v>-5158</v>
      </c>
      <c r="C93">
        <v>-125597.3</v>
      </c>
    </row>
    <row r="94" spans="1:3" x14ac:dyDescent="0.25">
      <c r="A94" t="s">
        <v>59</v>
      </c>
      <c r="B94">
        <v>-6976</v>
      </c>
      <c r="C94">
        <v>-106174.72</v>
      </c>
    </row>
    <row r="95" spans="1:3" x14ac:dyDescent="0.25">
      <c r="A95" t="s">
        <v>187</v>
      </c>
      <c r="B95">
        <v>-2951</v>
      </c>
      <c r="C95">
        <v>-140792.21</v>
      </c>
    </row>
    <row r="96" spans="1:3" x14ac:dyDescent="0.25">
      <c r="A96" t="s">
        <v>60</v>
      </c>
      <c r="B96">
        <v>-491</v>
      </c>
      <c r="C96">
        <v>-83798.97</v>
      </c>
    </row>
    <row r="97" spans="1:3" x14ac:dyDescent="0.25">
      <c r="A97" t="s">
        <v>61</v>
      </c>
      <c r="B97">
        <v>-2252</v>
      </c>
      <c r="C97">
        <v>-97691.76</v>
      </c>
    </row>
    <row r="98" spans="1:3" x14ac:dyDescent="0.25">
      <c r="A98" t="s">
        <v>62</v>
      </c>
      <c r="B98">
        <v>-437</v>
      </c>
      <c r="C98">
        <v>-104154.58</v>
      </c>
    </row>
    <row r="99" spans="1:3" x14ac:dyDescent="0.25">
      <c r="A99" t="s">
        <v>252</v>
      </c>
      <c r="B99">
        <v>-2609</v>
      </c>
      <c r="C99">
        <v>-139790.22</v>
      </c>
    </row>
    <row r="100" spans="1:3" x14ac:dyDescent="0.25">
      <c r="A100" t="s">
        <v>161</v>
      </c>
      <c r="B100">
        <v>-632</v>
      </c>
      <c r="C100">
        <v>-141959.84</v>
      </c>
    </row>
    <row r="101" spans="1:3" x14ac:dyDescent="0.25">
      <c r="A101" t="s">
        <v>162</v>
      </c>
      <c r="B101">
        <v>-619</v>
      </c>
      <c r="C101">
        <v>-44679.42</v>
      </c>
    </row>
    <row r="102" spans="1:3" x14ac:dyDescent="0.25">
      <c r="A102" t="s">
        <v>63</v>
      </c>
      <c r="B102">
        <v>-335</v>
      </c>
      <c r="C102">
        <v>-81703.149999999994</v>
      </c>
    </row>
    <row r="103" spans="1:3" x14ac:dyDescent="0.25">
      <c r="A103" t="s">
        <v>274</v>
      </c>
      <c r="B103">
        <v>-3168</v>
      </c>
      <c r="C103">
        <v>-140310.72</v>
      </c>
    </row>
    <row r="104" spans="1:3" x14ac:dyDescent="0.25">
      <c r="A104" t="s">
        <v>163</v>
      </c>
      <c r="B104">
        <v>-4755</v>
      </c>
      <c r="C104">
        <v>-133520.4</v>
      </c>
    </row>
    <row r="105" spans="1:3" x14ac:dyDescent="0.25">
      <c r="A105" t="s">
        <v>64</v>
      </c>
      <c r="B105">
        <v>-406</v>
      </c>
      <c r="C105">
        <v>-45488.24</v>
      </c>
    </row>
    <row r="106" spans="1:3" x14ac:dyDescent="0.25">
      <c r="A106" t="s">
        <v>237</v>
      </c>
      <c r="B106">
        <v>-5748</v>
      </c>
      <c r="C106">
        <v>-138871.67999999999</v>
      </c>
    </row>
    <row r="107" spans="1:3" x14ac:dyDescent="0.25">
      <c r="A107" t="s">
        <v>65</v>
      </c>
      <c r="B107">
        <v>-4325</v>
      </c>
      <c r="C107">
        <v>-110460.5</v>
      </c>
    </row>
    <row r="108" spans="1:3" x14ac:dyDescent="0.25">
      <c r="A108" t="s">
        <v>66</v>
      </c>
      <c r="B108">
        <v>-1345</v>
      </c>
      <c r="C108">
        <v>-72697.25</v>
      </c>
    </row>
    <row r="109" spans="1:3" x14ac:dyDescent="0.25">
      <c r="A109" t="s">
        <v>188</v>
      </c>
      <c r="B109">
        <v>-3815</v>
      </c>
      <c r="C109">
        <v>-123987.5</v>
      </c>
    </row>
    <row r="110" spans="1:3" x14ac:dyDescent="0.25">
      <c r="A110" t="s">
        <v>223</v>
      </c>
      <c r="B110">
        <v>-1709</v>
      </c>
      <c r="C110">
        <v>-156817.84</v>
      </c>
    </row>
    <row r="111" spans="1:3" x14ac:dyDescent="0.25">
      <c r="A111" t="s">
        <v>224</v>
      </c>
      <c r="B111">
        <v>-1535</v>
      </c>
      <c r="C111">
        <v>-30439.05</v>
      </c>
    </row>
    <row r="112" spans="1:3" x14ac:dyDescent="0.25">
      <c r="A112" t="s">
        <v>67</v>
      </c>
      <c r="B112">
        <v>-2734</v>
      </c>
      <c r="C112">
        <v>-108703.84</v>
      </c>
    </row>
    <row r="113" spans="1:3" x14ac:dyDescent="0.25">
      <c r="A113" t="s">
        <v>68</v>
      </c>
      <c r="B113">
        <v>-1980</v>
      </c>
      <c r="C113">
        <v>-91535.4</v>
      </c>
    </row>
    <row r="114" spans="1:3" x14ac:dyDescent="0.25">
      <c r="A114" t="s">
        <v>164</v>
      </c>
      <c r="B114">
        <v>-5271</v>
      </c>
      <c r="C114">
        <v>-54449.43</v>
      </c>
    </row>
    <row r="115" spans="1:3" x14ac:dyDescent="0.25">
      <c r="A115" t="s">
        <v>270</v>
      </c>
      <c r="B115">
        <v>-747</v>
      </c>
      <c r="C115">
        <v>-86263.56</v>
      </c>
    </row>
    <row r="116" spans="1:3" x14ac:dyDescent="0.25">
      <c r="A116" t="s">
        <v>69</v>
      </c>
      <c r="B116">
        <v>-8809</v>
      </c>
      <c r="C116">
        <v>-201461.83</v>
      </c>
    </row>
    <row r="117" spans="1:3" x14ac:dyDescent="0.25">
      <c r="A117" t="s">
        <v>165</v>
      </c>
      <c r="B117">
        <v>-2187</v>
      </c>
      <c r="C117">
        <v>-126408.6</v>
      </c>
    </row>
    <row r="118" spans="1:3" x14ac:dyDescent="0.25">
      <c r="A118" t="s">
        <v>243</v>
      </c>
      <c r="B118">
        <v>-2298</v>
      </c>
      <c r="C118">
        <v>-74432.22</v>
      </c>
    </row>
    <row r="119" spans="1:3" x14ac:dyDescent="0.25">
      <c r="A119" t="s">
        <v>70</v>
      </c>
      <c r="B119">
        <v>-248</v>
      </c>
      <c r="C119">
        <v>-32936.879999999997</v>
      </c>
    </row>
    <row r="120" spans="1:3" x14ac:dyDescent="0.25">
      <c r="A120" t="s">
        <v>141</v>
      </c>
      <c r="B120">
        <v>-1077</v>
      </c>
      <c r="C120">
        <v>-81884.31</v>
      </c>
    </row>
    <row r="121" spans="1:3" x14ac:dyDescent="0.25">
      <c r="A121" t="s">
        <v>189</v>
      </c>
      <c r="B121">
        <v>-656</v>
      </c>
      <c r="C121">
        <v>-14268</v>
      </c>
    </row>
    <row r="122" spans="1:3" x14ac:dyDescent="0.25">
      <c r="A122" t="s">
        <v>71</v>
      </c>
      <c r="B122">
        <v>-1495</v>
      </c>
      <c r="C122">
        <v>-26416.65</v>
      </c>
    </row>
    <row r="123" spans="1:3" x14ac:dyDescent="0.25">
      <c r="A123" t="s">
        <v>72</v>
      </c>
      <c r="B123">
        <v>-831</v>
      </c>
      <c r="C123">
        <v>-29384.16</v>
      </c>
    </row>
    <row r="124" spans="1:3" x14ac:dyDescent="0.25">
      <c r="A124" t="s">
        <v>214</v>
      </c>
      <c r="B124">
        <v>-4645</v>
      </c>
      <c r="C124">
        <v>-53138.8</v>
      </c>
    </row>
    <row r="125" spans="1:3" x14ac:dyDescent="0.25">
      <c r="A125" t="s">
        <v>215</v>
      </c>
      <c r="B125">
        <v>-3710</v>
      </c>
      <c r="C125">
        <v>-230242.6</v>
      </c>
    </row>
    <row r="126" spans="1:3" x14ac:dyDescent="0.25">
      <c r="A126" t="s">
        <v>73</v>
      </c>
      <c r="B126">
        <v>-3441</v>
      </c>
      <c r="C126">
        <v>-15484.5</v>
      </c>
    </row>
    <row r="127" spans="1:3" x14ac:dyDescent="0.25">
      <c r="A127" t="s">
        <v>190</v>
      </c>
      <c r="B127">
        <v>-932</v>
      </c>
      <c r="C127">
        <v>-102902.12</v>
      </c>
    </row>
    <row r="128" spans="1:3" x14ac:dyDescent="0.25">
      <c r="A128" t="s">
        <v>247</v>
      </c>
      <c r="B128">
        <v>-9150</v>
      </c>
      <c r="C128">
        <v>-173118</v>
      </c>
    </row>
    <row r="129" spans="1:3" x14ac:dyDescent="0.25">
      <c r="A129" t="s">
        <v>191</v>
      </c>
      <c r="B129">
        <v>-1845</v>
      </c>
      <c r="C129">
        <v>-40700.699999999997</v>
      </c>
    </row>
    <row r="130" spans="1:3" x14ac:dyDescent="0.25">
      <c r="A130" t="s">
        <v>167</v>
      </c>
      <c r="B130">
        <v>-1410</v>
      </c>
      <c r="C130">
        <v>-28185.9</v>
      </c>
    </row>
    <row r="131" spans="1:3" x14ac:dyDescent="0.25">
      <c r="A131" t="s">
        <v>216</v>
      </c>
      <c r="B131">
        <v>-424</v>
      </c>
      <c r="C131">
        <v>-76099.520000000004</v>
      </c>
    </row>
    <row r="132" spans="1:3" x14ac:dyDescent="0.25">
      <c r="A132" t="s">
        <v>238</v>
      </c>
      <c r="B132">
        <v>-297</v>
      </c>
      <c r="C132">
        <v>-41458.230000000003</v>
      </c>
    </row>
    <row r="133" spans="1:3" x14ac:dyDescent="0.25">
      <c r="A133" t="s">
        <v>239</v>
      </c>
      <c r="B133">
        <v>-3712</v>
      </c>
      <c r="C133">
        <v>-60134.400000000001</v>
      </c>
    </row>
    <row r="134" spans="1:3" x14ac:dyDescent="0.25">
      <c r="A134" t="s">
        <v>74</v>
      </c>
      <c r="B134">
        <v>-1382</v>
      </c>
      <c r="C134">
        <v>-97997.62</v>
      </c>
    </row>
    <row r="135" spans="1:3" x14ac:dyDescent="0.25">
      <c r="A135" t="s">
        <v>75</v>
      </c>
      <c r="B135">
        <v>-1540</v>
      </c>
      <c r="C135">
        <v>-25718</v>
      </c>
    </row>
    <row r="136" spans="1:3" x14ac:dyDescent="0.25">
      <c r="A136" t="s">
        <v>76</v>
      </c>
      <c r="B136">
        <v>-2234</v>
      </c>
      <c r="C136">
        <v>-261467.36</v>
      </c>
    </row>
    <row r="137" spans="1:3" x14ac:dyDescent="0.25">
      <c r="A137" t="s">
        <v>271</v>
      </c>
      <c r="B137">
        <v>-1874</v>
      </c>
      <c r="C137">
        <v>-72673.72</v>
      </c>
    </row>
    <row r="138" spans="1:3" x14ac:dyDescent="0.25">
      <c r="A138" t="s">
        <v>240</v>
      </c>
      <c r="B138">
        <v>-164</v>
      </c>
      <c r="C138">
        <v>-28775.439999999999</v>
      </c>
    </row>
    <row r="139" spans="1:3" x14ac:dyDescent="0.25">
      <c r="A139" t="s">
        <v>78</v>
      </c>
      <c r="B139">
        <v>-790</v>
      </c>
      <c r="C139">
        <v>-29372.2</v>
      </c>
    </row>
    <row r="140" spans="1:3" x14ac:dyDescent="0.25">
      <c r="A140" t="s">
        <v>192</v>
      </c>
      <c r="B140">
        <v>-1019</v>
      </c>
      <c r="C140">
        <v>-48219.08</v>
      </c>
    </row>
    <row r="141" spans="1:3" x14ac:dyDescent="0.25">
      <c r="A141" t="s">
        <v>272</v>
      </c>
      <c r="B141">
        <v>-259</v>
      </c>
      <c r="C141">
        <v>-83726.929999999993</v>
      </c>
    </row>
    <row r="142" spans="1:3" x14ac:dyDescent="0.25">
      <c r="A142" t="s">
        <v>79</v>
      </c>
      <c r="B142">
        <v>-17082</v>
      </c>
      <c r="C142">
        <v>-222578.46</v>
      </c>
    </row>
    <row r="143" spans="1:3" x14ac:dyDescent="0.25">
      <c r="A143" t="s">
        <v>217</v>
      </c>
      <c r="B143">
        <v>-4532</v>
      </c>
      <c r="C143">
        <v>-86017.36</v>
      </c>
    </row>
    <row r="144" spans="1:3" x14ac:dyDescent="0.25">
      <c r="A144" t="s">
        <v>168</v>
      </c>
      <c r="B144">
        <v>-6115</v>
      </c>
      <c r="C144">
        <v>-141134.20000000001</v>
      </c>
    </row>
    <row r="145" spans="1:3" x14ac:dyDescent="0.25">
      <c r="A145" t="s">
        <v>80</v>
      </c>
      <c r="B145">
        <v>-7941</v>
      </c>
      <c r="C145">
        <v>-112285.74</v>
      </c>
    </row>
    <row r="146" spans="1:3" x14ac:dyDescent="0.25">
      <c r="A146" t="s">
        <v>193</v>
      </c>
      <c r="B146">
        <v>-8813</v>
      </c>
      <c r="C146">
        <v>-213450.86</v>
      </c>
    </row>
    <row r="147" spans="1:3" x14ac:dyDescent="0.25">
      <c r="A147" t="s">
        <v>81</v>
      </c>
      <c r="B147">
        <v>-4560</v>
      </c>
      <c r="C147">
        <v>-119928</v>
      </c>
    </row>
    <row r="148" spans="1:3" x14ac:dyDescent="0.25">
      <c r="A148" t="s">
        <v>82</v>
      </c>
      <c r="B148">
        <v>-818</v>
      </c>
      <c r="C148">
        <v>-41971.58</v>
      </c>
    </row>
    <row r="149" spans="1:3" x14ac:dyDescent="0.25">
      <c r="A149" t="s">
        <v>248</v>
      </c>
      <c r="B149">
        <v>-1023</v>
      </c>
      <c r="C149">
        <v>-128028.45</v>
      </c>
    </row>
    <row r="150" spans="1:3" x14ac:dyDescent="0.25">
      <c r="A150" t="s">
        <v>194</v>
      </c>
      <c r="B150">
        <v>-9278</v>
      </c>
      <c r="C150">
        <v>-142881.20000000001</v>
      </c>
    </row>
    <row r="151" spans="1:3" x14ac:dyDescent="0.25">
      <c r="A151" t="s">
        <v>264</v>
      </c>
      <c r="B151">
        <v>-676</v>
      </c>
      <c r="C151">
        <v>-111398.04</v>
      </c>
    </row>
    <row r="152" spans="1:3" x14ac:dyDescent="0.25">
      <c r="A152" t="s">
        <v>170</v>
      </c>
      <c r="B152">
        <v>-242</v>
      </c>
      <c r="C152">
        <v>-29049.68</v>
      </c>
    </row>
    <row r="153" spans="1:3" x14ac:dyDescent="0.25">
      <c r="A153" t="s">
        <v>142</v>
      </c>
      <c r="B153">
        <v>-2156</v>
      </c>
      <c r="C153">
        <v>-42149.8</v>
      </c>
    </row>
    <row r="154" spans="1:3" x14ac:dyDescent="0.25">
      <c r="A154" t="s">
        <v>171</v>
      </c>
      <c r="B154">
        <v>-11397</v>
      </c>
      <c r="C154">
        <v>-86275.29</v>
      </c>
    </row>
    <row r="155" spans="1:3" x14ac:dyDescent="0.25">
      <c r="A155" t="s">
        <v>178</v>
      </c>
      <c r="B155">
        <v>-5557</v>
      </c>
      <c r="C155">
        <v>-131812.04</v>
      </c>
    </row>
    <row r="156" spans="1:3" x14ac:dyDescent="0.25">
      <c r="A156" t="s">
        <v>83</v>
      </c>
      <c r="B156">
        <v>-140</v>
      </c>
      <c r="C156">
        <v>-14596.4</v>
      </c>
    </row>
    <row r="157" spans="1:3" x14ac:dyDescent="0.25">
      <c r="A157" t="s">
        <v>3</v>
      </c>
      <c r="B157">
        <v>-7553</v>
      </c>
      <c r="C157">
        <v>-100832.55</v>
      </c>
    </row>
    <row r="158" spans="1:3" x14ac:dyDescent="0.25">
      <c r="A158" t="s">
        <v>230</v>
      </c>
      <c r="B158">
        <v>-526</v>
      </c>
      <c r="C158">
        <v>-69316.28</v>
      </c>
    </row>
    <row r="159" spans="1:3" x14ac:dyDescent="0.25">
      <c r="A159" t="s">
        <v>84</v>
      </c>
      <c r="B159">
        <v>-4751</v>
      </c>
      <c r="C159">
        <v>-29076.12</v>
      </c>
    </row>
    <row r="160" spans="1:3" x14ac:dyDescent="0.25">
      <c r="A160" t="s">
        <v>218</v>
      </c>
      <c r="B160">
        <v>-2494</v>
      </c>
      <c r="C160">
        <v>-26436.400000000001</v>
      </c>
    </row>
    <row r="161" spans="1:3" x14ac:dyDescent="0.25">
      <c r="A161" t="s">
        <v>195</v>
      </c>
      <c r="B161">
        <v>-1278</v>
      </c>
      <c r="C161">
        <v>-54174.42</v>
      </c>
    </row>
    <row r="162" spans="1:3" x14ac:dyDescent="0.25">
      <c r="A162" t="s">
        <v>196</v>
      </c>
      <c r="B162">
        <v>-3637</v>
      </c>
      <c r="C162">
        <v>-231567.79</v>
      </c>
    </row>
    <row r="163" spans="1:3" x14ac:dyDescent="0.25">
      <c r="A163" t="s">
        <v>85</v>
      </c>
      <c r="B163">
        <v>-293</v>
      </c>
      <c r="C163">
        <v>-27451.17</v>
      </c>
    </row>
    <row r="164" spans="1:3" x14ac:dyDescent="0.25">
      <c r="A164" t="s">
        <v>249</v>
      </c>
      <c r="B164">
        <v>-3568</v>
      </c>
      <c r="C164">
        <v>-55767.839999999997</v>
      </c>
    </row>
    <row r="165" spans="1:3" x14ac:dyDescent="0.25">
      <c r="A165" t="s">
        <v>86</v>
      </c>
      <c r="B165">
        <v>-14011</v>
      </c>
      <c r="C165">
        <v>-882693</v>
      </c>
    </row>
    <row r="166" spans="1:3" x14ac:dyDescent="0.25">
      <c r="A166" t="s">
        <v>250</v>
      </c>
      <c r="B166">
        <v>-2713</v>
      </c>
      <c r="C166">
        <v>-57841.16</v>
      </c>
    </row>
    <row r="167" spans="1:3" x14ac:dyDescent="0.25">
      <c r="A167" t="s">
        <v>87</v>
      </c>
      <c r="B167">
        <v>-2602</v>
      </c>
      <c r="C167">
        <v>-50686.96</v>
      </c>
    </row>
    <row r="168" spans="1:3" x14ac:dyDescent="0.25">
      <c r="A168" t="s">
        <v>231</v>
      </c>
      <c r="B168">
        <v>-441</v>
      </c>
      <c r="C168">
        <v>-28612.080000000002</v>
      </c>
    </row>
    <row r="169" spans="1:3" x14ac:dyDescent="0.25">
      <c r="A169" t="s">
        <v>172</v>
      </c>
      <c r="B169">
        <v>-4126</v>
      </c>
      <c r="C169">
        <v>-135126.5</v>
      </c>
    </row>
    <row r="170" spans="1:3" x14ac:dyDescent="0.25">
      <c r="A170" t="s">
        <v>155</v>
      </c>
      <c r="B170">
        <v>-745</v>
      </c>
      <c r="C170">
        <v>-56322</v>
      </c>
    </row>
    <row r="171" spans="1:3" x14ac:dyDescent="0.25">
      <c r="A171" t="s">
        <v>89</v>
      </c>
      <c r="B171">
        <v>-1236</v>
      </c>
      <c r="C171">
        <v>-228944.28</v>
      </c>
    </row>
    <row r="172" spans="1:3" x14ac:dyDescent="0.25">
      <c r="A172" t="s">
        <v>244</v>
      </c>
      <c r="B172">
        <v>-2030</v>
      </c>
      <c r="C172">
        <v>-45837.4</v>
      </c>
    </row>
    <row r="173" spans="1:3" x14ac:dyDescent="0.25">
      <c r="A173" t="s">
        <v>90</v>
      </c>
      <c r="B173">
        <v>-2588</v>
      </c>
      <c r="C173">
        <v>-130771.64</v>
      </c>
    </row>
    <row r="174" spans="1:3" x14ac:dyDescent="0.25">
      <c r="A174" t="s">
        <v>253</v>
      </c>
      <c r="B174">
        <v>-2569</v>
      </c>
      <c r="C174">
        <v>-193805.36</v>
      </c>
    </row>
    <row r="175" spans="1:3" x14ac:dyDescent="0.25">
      <c r="A175" t="s">
        <v>226</v>
      </c>
      <c r="B175">
        <v>-9437</v>
      </c>
      <c r="C175">
        <v>-111639.71</v>
      </c>
    </row>
    <row r="176" spans="1:3" x14ac:dyDescent="0.25">
      <c r="A176" t="s">
        <v>241</v>
      </c>
      <c r="B176">
        <v>-859</v>
      </c>
      <c r="C176">
        <v>-42632.17</v>
      </c>
    </row>
    <row r="177" spans="1:3" x14ac:dyDescent="0.25">
      <c r="A177" t="s">
        <v>197</v>
      </c>
      <c r="B177">
        <v>-352</v>
      </c>
      <c r="C177">
        <v>-15076.16</v>
      </c>
    </row>
    <row r="178" spans="1:3" x14ac:dyDescent="0.25">
      <c r="A178" t="s">
        <v>254</v>
      </c>
      <c r="B178">
        <v>-1553</v>
      </c>
      <c r="C178">
        <v>-140080.6</v>
      </c>
    </row>
    <row r="179" spans="1:3" x14ac:dyDescent="0.25">
      <c r="A179" t="s">
        <v>198</v>
      </c>
      <c r="B179">
        <v>-3306</v>
      </c>
      <c r="C179">
        <v>-134289.72</v>
      </c>
    </row>
    <row r="180" spans="1:3" x14ac:dyDescent="0.25">
      <c r="A180" t="s">
        <v>46</v>
      </c>
      <c r="B180">
        <v>-3540</v>
      </c>
      <c r="C180">
        <v>-109350.6</v>
      </c>
    </row>
    <row r="181" spans="1:3" x14ac:dyDescent="0.25">
      <c r="A181" t="s">
        <v>199</v>
      </c>
      <c r="B181">
        <v>-1395</v>
      </c>
      <c r="C181">
        <v>-60403.5</v>
      </c>
    </row>
    <row r="182" spans="1:3" x14ac:dyDescent="0.25">
      <c r="A182" t="s">
        <v>219</v>
      </c>
      <c r="B182">
        <v>-970</v>
      </c>
      <c r="C182">
        <v>-15500.6</v>
      </c>
    </row>
    <row r="183" spans="1:3" x14ac:dyDescent="0.25">
      <c r="A183" t="s">
        <v>200</v>
      </c>
      <c r="B183">
        <v>-1137</v>
      </c>
      <c r="C183">
        <v>-58737.42</v>
      </c>
    </row>
    <row r="184" spans="1:3" x14ac:dyDescent="0.25">
      <c r="A184" t="s">
        <v>91</v>
      </c>
      <c r="B184">
        <v>-1111</v>
      </c>
      <c r="C184">
        <v>-27252.83</v>
      </c>
    </row>
    <row r="185" spans="1:3" x14ac:dyDescent="0.25">
      <c r="A185" t="s">
        <v>232</v>
      </c>
      <c r="B185">
        <v>-1332</v>
      </c>
      <c r="C185">
        <v>-126726.48</v>
      </c>
    </row>
    <row r="186" spans="1:3" x14ac:dyDescent="0.25">
      <c r="A186" t="s">
        <v>201</v>
      </c>
      <c r="B186">
        <v>-5915</v>
      </c>
      <c r="C186">
        <v>-126935.9</v>
      </c>
    </row>
    <row r="187" spans="1:3" x14ac:dyDescent="0.25">
      <c r="A187" t="s">
        <v>92</v>
      </c>
      <c r="B187">
        <v>-1950</v>
      </c>
      <c r="C187">
        <v>-108049.5</v>
      </c>
    </row>
    <row r="188" spans="1:3" x14ac:dyDescent="0.25">
      <c r="A188" t="s">
        <v>93</v>
      </c>
      <c r="B188">
        <v>-581</v>
      </c>
      <c r="C188">
        <v>-147126.63</v>
      </c>
    </row>
    <row r="189" spans="1:3" x14ac:dyDescent="0.25">
      <c r="A189" t="s">
        <v>242</v>
      </c>
      <c r="B189">
        <v>-1654</v>
      </c>
      <c r="C189">
        <v>-153722.76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49EF6-73D4-4C19-9DD2-6A7B12407CBA}">
  <sheetPr codeName="Sheet7"/>
  <dimension ref="A1:C27"/>
  <sheetViews>
    <sheetView workbookViewId="0">
      <selection activeCell="A2" sqref="A2:C27"/>
    </sheetView>
  </sheetViews>
  <sheetFormatPr defaultRowHeight="15" x14ac:dyDescent="0.25"/>
  <cols>
    <col min="1" max="2" width="26.7109375" bestFit="1" customWidth="1"/>
    <col min="3" max="3" width="17" bestFit="1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 t="s">
        <v>126</v>
      </c>
      <c r="B2">
        <v>110322</v>
      </c>
      <c r="C2">
        <v>1207474.31</v>
      </c>
    </row>
    <row r="3" spans="1:3" x14ac:dyDescent="0.25">
      <c r="A3" t="s">
        <v>95</v>
      </c>
      <c r="B3">
        <v>109725</v>
      </c>
      <c r="C3">
        <v>1975050</v>
      </c>
    </row>
    <row r="4" spans="1:3" x14ac:dyDescent="0.25">
      <c r="A4" t="s">
        <v>24</v>
      </c>
      <c r="B4">
        <v>64836</v>
      </c>
      <c r="C4">
        <v>1338215.04</v>
      </c>
    </row>
    <row r="5" spans="1:3" x14ac:dyDescent="0.25">
      <c r="A5" t="s">
        <v>97</v>
      </c>
      <c r="B5">
        <v>275217</v>
      </c>
      <c r="C5">
        <v>3426451.65</v>
      </c>
    </row>
    <row r="6" spans="1:3" x14ac:dyDescent="0.25">
      <c r="A6" t="s">
        <v>127</v>
      </c>
      <c r="B6">
        <v>103380</v>
      </c>
      <c r="C6">
        <v>1902708.93</v>
      </c>
    </row>
    <row r="7" spans="1:3" x14ac:dyDescent="0.25">
      <c r="A7" t="s">
        <v>101</v>
      </c>
      <c r="B7">
        <v>50132</v>
      </c>
      <c r="C7">
        <v>1558102.56</v>
      </c>
    </row>
    <row r="8" spans="1:3" x14ac:dyDescent="0.25">
      <c r="A8" t="s">
        <v>128</v>
      </c>
      <c r="B8">
        <v>169256</v>
      </c>
      <c r="C8">
        <v>4569912</v>
      </c>
    </row>
    <row r="9" spans="1:3" x14ac:dyDescent="0.25">
      <c r="A9" t="s">
        <v>129</v>
      </c>
      <c r="B9">
        <v>50133</v>
      </c>
      <c r="C9">
        <v>1208706.6299999999</v>
      </c>
    </row>
    <row r="10" spans="1:3" x14ac:dyDescent="0.25">
      <c r="A10" t="s">
        <v>130</v>
      </c>
      <c r="B10">
        <v>38626</v>
      </c>
      <c r="C10">
        <v>551193.02</v>
      </c>
    </row>
    <row r="11" spans="1:3" x14ac:dyDescent="0.25">
      <c r="A11" t="s">
        <v>103</v>
      </c>
      <c r="B11">
        <v>88440</v>
      </c>
      <c r="C11">
        <v>1933298.4</v>
      </c>
    </row>
    <row r="12" spans="1:3" x14ac:dyDescent="0.25">
      <c r="A12" t="s">
        <v>105</v>
      </c>
      <c r="B12">
        <v>38934</v>
      </c>
      <c r="C12">
        <v>1000993.14</v>
      </c>
    </row>
    <row r="13" spans="1:3" x14ac:dyDescent="0.25">
      <c r="A13" t="s">
        <v>152</v>
      </c>
      <c r="B13">
        <v>261048</v>
      </c>
      <c r="C13">
        <v>2119709.7599999998</v>
      </c>
    </row>
    <row r="14" spans="1:3" x14ac:dyDescent="0.25">
      <c r="A14" t="s">
        <v>131</v>
      </c>
      <c r="B14">
        <v>69400</v>
      </c>
      <c r="C14">
        <v>1762760</v>
      </c>
    </row>
    <row r="15" spans="1:3" x14ac:dyDescent="0.25">
      <c r="A15" t="s">
        <v>132</v>
      </c>
      <c r="B15">
        <v>312003</v>
      </c>
      <c r="C15">
        <v>8673683.4000000004</v>
      </c>
    </row>
    <row r="16" spans="1:3" x14ac:dyDescent="0.25">
      <c r="A16" t="s">
        <v>133</v>
      </c>
      <c r="B16">
        <v>4582</v>
      </c>
      <c r="C16">
        <v>107677</v>
      </c>
    </row>
    <row r="17" spans="1:3" x14ac:dyDescent="0.25">
      <c r="A17" t="s">
        <v>107</v>
      </c>
      <c r="B17">
        <v>60391</v>
      </c>
      <c r="C17">
        <v>1522457.11</v>
      </c>
    </row>
    <row r="18" spans="1:3" x14ac:dyDescent="0.25">
      <c r="A18" t="s">
        <v>108</v>
      </c>
      <c r="B18">
        <v>301719</v>
      </c>
      <c r="C18">
        <v>3472785.69</v>
      </c>
    </row>
    <row r="19" spans="1:3" x14ac:dyDescent="0.25">
      <c r="A19" t="s">
        <v>110</v>
      </c>
      <c r="B19">
        <v>4050</v>
      </c>
      <c r="C19">
        <v>52893</v>
      </c>
    </row>
    <row r="20" spans="1:3" x14ac:dyDescent="0.25">
      <c r="A20" t="s">
        <v>134</v>
      </c>
      <c r="B20">
        <v>49134</v>
      </c>
      <c r="C20">
        <v>1319247.8999999999</v>
      </c>
    </row>
    <row r="21" spans="1:3" x14ac:dyDescent="0.25">
      <c r="A21" t="s">
        <v>114</v>
      </c>
      <c r="B21">
        <v>56309</v>
      </c>
      <c r="C21">
        <v>2241098.2000000002</v>
      </c>
    </row>
    <row r="22" spans="1:3" x14ac:dyDescent="0.25">
      <c r="A22" t="s">
        <v>135</v>
      </c>
      <c r="B22">
        <v>9359</v>
      </c>
      <c r="C22">
        <v>3247573</v>
      </c>
    </row>
    <row r="23" spans="1:3" x14ac:dyDescent="0.25">
      <c r="A23" t="s">
        <v>119</v>
      </c>
      <c r="B23">
        <v>511600</v>
      </c>
      <c r="C23">
        <v>2046400</v>
      </c>
    </row>
    <row r="24" spans="1:3" x14ac:dyDescent="0.25">
      <c r="A24" t="s">
        <v>176</v>
      </c>
      <c r="B24">
        <v>30450</v>
      </c>
      <c r="C24">
        <v>4181698.5</v>
      </c>
    </row>
    <row r="25" spans="1:3" x14ac:dyDescent="0.25">
      <c r="A25" t="s">
        <v>120</v>
      </c>
      <c r="B25">
        <v>145797</v>
      </c>
      <c r="C25">
        <v>1955137.77</v>
      </c>
    </row>
    <row r="26" spans="1:3" x14ac:dyDescent="0.25">
      <c r="A26" t="s">
        <v>121</v>
      </c>
      <c r="B26">
        <v>334475</v>
      </c>
      <c r="C26">
        <v>4485309.75</v>
      </c>
    </row>
    <row r="27" spans="1:3" x14ac:dyDescent="0.25">
      <c r="A27" t="s">
        <v>122</v>
      </c>
      <c r="B27">
        <v>56872</v>
      </c>
      <c r="C27">
        <v>233175.2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D8554-F209-47E4-8A44-1E28C8B8B68B}">
  <sheetPr codeName="Sheet8"/>
  <dimension ref="A1:C30"/>
  <sheetViews>
    <sheetView topLeftCell="A3" workbookViewId="0">
      <selection activeCell="A2" sqref="A2:C30"/>
    </sheetView>
  </sheetViews>
  <sheetFormatPr defaultRowHeight="15" x14ac:dyDescent="0.25"/>
  <cols>
    <col min="1" max="2" width="26.7109375" bestFit="1" customWidth="1"/>
    <col min="3" max="3" width="17" bestFit="1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 t="s">
        <v>126</v>
      </c>
      <c r="B2">
        <v>179878</v>
      </c>
      <c r="C2">
        <v>1968764.73</v>
      </c>
    </row>
    <row r="3" spans="1:3" x14ac:dyDescent="0.25">
      <c r="A3" t="s">
        <v>95</v>
      </c>
      <c r="B3">
        <v>55000</v>
      </c>
      <c r="C3">
        <v>990000</v>
      </c>
    </row>
    <row r="4" spans="1:3" x14ac:dyDescent="0.25">
      <c r="A4" t="s">
        <v>97</v>
      </c>
      <c r="B4">
        <v>408690</v>
      </c>
      <c r="C4">
        <v>5088190.5</v>
      </c>
    </row>
    <row r="5" spans="1:3" x14ac:dyDescent="0.25">
      <c r="A5" t="s">
        <v>136</v>
      </c>
      <c r="B5">
        <v>93344</v>
      </c>
      <c r="C5">
        <v>1376824</v>
      </c>
    </row>
    <row r="6" spans="1:3" x14ac:dyDescent="0.25">
      <c r="A6" t="s">
        <v>127</v>
      </c>
      <c r="B6">
        <v>220947</v>
      </c>
      <c r="C6">
        <v>4066529.57</v>
      </c>
    </row>
    <row r="7" spans="1:3" x14ac:dyDescent="0.25">
      <c r="A7" t="s">
        <v>101</v>
      </c>
      <c r="B7">
        <v>120966</v>
      </c>
      <c r="C7">
        <v>3759623.28</v>
      </c>
    </row>
    <row r="8" spans="1:3" x14ac:dyDescent="0.25">
      <c r="A8" t="s">
        <v>128</v>
      </c>
      <c r="B8">
        <v>200007</v>
      </c>
      <c r="C8">
        <v>5400189</v>
      </c>
    </row>
    <row r="9" spans="1:3" x14ac:dyDescent="0.25">
      <c r="A9" t="s">
        <v>129</v>
      </c>
      <c r="B9">
        <v>18990</v>
      </c>
      <c r="C9">
        <v>457848.9</v>
      </c>
    </row>
    <row r="10" spans="1:3" x14ac:dyDescent="0.25">
      <c r="A10" t="s">
        <v>130</v>
      </c>
      <c r="B10">
        <v>23628</v>
      </c>
      <c r="C10">
        <v>337171.56</v>
      </c>
    </row>
    <row r="11" spans="1:3" x14ac:dyDescent="0.25">
      <c r="A11" t="s">
        <v>103</v>
      </c>
      <c r="B11">
        <v>131560</v>
      </c>
      <c r="C11">
        <v>2875901.6</v>
      </c>
    </row>
    <row r="12" spans="1:3" x14ac:dyDescent="0.25">
      <c r="A12" t="s">
        <v>105</v>
      </c>
      <c r="B12">
        <v>175538</v>
      </c>
      <c r="C12">
        <v>4513081.9800000004</v>
      </c>
    </row>
    <row r="13" spans="1:3" x14ac:dyDescent="0.25">
      <c r="A13" t="s">
        <v>152</v>
      </c>
      <c r="B13">
        <v>184452</v>
      </c>
      <c r="C13">
        <v>1497750.24</v>
      </c>
    </row>
    <row r="14" spans="1:3" x14ac:dyDescent="0.25">
      <c r="A14" t="s">
        <v>132</v>
      </c>
      <c r="B14">
        <v>306336</v>
      </c>
      <c r="C14">
        <v>8516140.8000000007</v>
      </c>
    </row>
    <row r="15" spans="1:3" x14ac:dyDescent="0.25">
      <c r="A15" t="s">
        <v>133</v>
      </c>
      <c r="B15">
        <v>6497</v>
      </c>
      <c r="C15">
        <v>152679.5</v>
      </c>
    </row>
    <row r="16" spans="1:3" x14ac:dyDescent="0.25">
      <c r="A16" t="s">
        <v>107</v>
      </c>
      <c r="B16">
        <v>89048</v>
      </c>
      <c r="C16">
        <v>2244900.08</v>
      </c>
    </row>
    <row r="17" spans="1:3" x14ac:dyDescent="0.25">
      <c r="A17" t="s">
        <v>137</v>
      </c>
      <c r="B17">
        <v>12076</v>
      </c>
      <c r="C17">
        <v>164595.88</v>
      </c>
    </row>
    <row r="18" spans="1:3" x14ac:dyDescent="0.25">
      <c r="A18" t="s">
        <v>108</v>
      </c>
      <c r="B18">
        <v>657257</v>
      </c>
      <c r="C18">
        <v>7565028.0700000003</v>
      </c>
    </row>
    <row r="19" spans="1:3" x14ac:dyDescent="0.25">
      <c r="A19" t="s">
        <v>41</v>
      </c>
      <c r="B19">
        <v>21051</v>
      </c>
      <c r="C19">
        <v>1114860.96</v>
      </c>
    </row>
    <row r="20" spans="1:3" x14ac:dyDescent="0.25">
      <c r="A20" t="s">
        <v>114</v>
      </c>
      <c r="B20">
        <v>87993</v>
      </c>
      <c r="C20">
        <v>3502121.4</v>
      </c>
    </row>
    <row r="21" spans="1:3" x14ac:dyDescent="0.25">
      <c r="A21" t="s">
        <v>138</v>
      </c>
      <c r="B21">
        <v>400000</v>
      </c>
      <c r="C21">
        <v>6800000</v>
      </c>
    </row>
    <row r="22" spans="1:3" x14ac:dyDescent="0.25">
      <c r="A22" t="s">
        <v>139</v>
      </c>
      <c r="B22">
        <v>615032</v>
      </c>
      <c r="C22">
        <v>4858752.8</v>
      </c>
    </row>
    <row r="23" spans="1:3" x14ac:dyDescent="0.25">
      <c r="A23" t="s">
        <v>135</v>
      </c>
      <c r="B23">
        <v>13863</v>
      </c>
      <c r="C23">
        <v>4810461</v>
      </c>
    </row>
    <row r="24" spans="1:3" x14ac:dyDescent="0.25">
      <c r="A24" t="s">
        <v>119</v>
      </c>
      <c r="B24">
        <v>588500</v>
      </c>
      <c r="C24">
        <v>2354000</v>
      </c>
    </row>
    <row r="25" spans="1:3" x14ac:dyDescent="0.25">
      <c r="A25" t="s">
        <v>176</v>
      </c>
      <c r="B25">
        <v>44550</v>
      </c>
      <c r="C25">
        <v>6118051.5</v>
      </c>
    </row>
    <row r="26" spans="1:3" x14ac:dyDescent="0.25">
      <c r="A26" t="s">
        <v>120</v>
      </c>
      <c r="B26">
        <v>163460</v>
      </c>
      <c r="C26">
        <v>2191998.6</v>
      </c>
    </row>
    <row r="27" spans="1:3" x14ac:dyDescent="0.25">
      <c r="A27" t="s">
        <v>121</v>
      </c>
      <c r="B27">
        <v>374996</v>
      </c>
      <c r="C27">
        <v>5028696.3600000003</v>
      </c>
    </row>
    <row r="28" spans="1:3" x14ac:dyDescent="0.25">
      <c r="A28" t="s">
        <v>122</v>
      </c>
      <c r="B28">
        <v>36155</v>
      </c>
      <c r="C28">
        <v>148235.5</v>
      </c>
    </row>
    <row r="29" spans="1:3" x14ac:dyDescent="0.25">
      <c r="A29" t="s">
        <v>123</v>
      </c>
      <c r="B29">
        <v>293751</v>
      </c>
      <c r="C29">
        <v>5669394.2999999998</v>
      </c>
    </row>
    <row r="30" spans="1:3" x14ac:dyDescent="0.25">
      <c r="A30" t="s">
        <v>124</v>
      </c>
      <c r="B30">
        <v>18474</v>
      </c>
      <c r="C3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7E46D-80C7-4F0D-90FD-72B619538B10}">
  <sheetPr codeName="Sheet3"/>
  <dimension ref="A1:C199"/>
  <sheetViews>
    <sheetView topLeftCell="A172" workbookViewId="0">
      <selection activeCell="A2" sqref="A2:C199"/>
    </sheetView>
  </sheetViews>
  <sheetFormatPr defaultRowHeight="15" x14ac:dyDescent="0.25"/>
  <cols>
    <col min="1" max="2" width="7.5703125" bestFit="1" customWidth="1"/>
    <col min="3" max="3" width="17" bestFit="1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 t="s">
        <v>257</v>
      </c>
      <c r="B2">
        <v>14450</v>
      </c>
      <c r="C2">
        <v>226778.3</v>
      </c>
    </row>
    <row r="3" spans="1:3" x14ac:dyDescent="0.25">
      <c r="A3" t="s">
        <v>20</v>
      </c>
      <c r="B3">
        <v>4103</v>
      </c>
      <c r="C3">
        <v>525840.48</v>
      </c>
    </row>
    <row r="4" spans="1:3" x14ac:dyDescent="0.25">
      <c r="A4" t="s">
        <v>21</v>
      </c>
      <c r="B4">
        <v>1680</v>
      </c>
      <c r="C4">
        <v>231873.6</v>
      </c>
    </row>
    <row r="5" spans="1:3" x14ac:dyDescent="0.25">
      <c r="A5" t="s">
        <v>22</v>
      </c>
      <c r="B5">
        <v>7778</v>
      </c>
      <c r="C5">
        <v>476246.94</v>
      </c>
    </row>
    <row r="6" spans="1:3" x14ac:dyDescent="0.25">
      <c r="A6" t="s">
        <v>233</v>
      </c>
      <c r="B6">
        <v>24855</v>
      </c>
      <c r="C6">
        <v>376801.8</v>
      </c>
    </row>
    <row r="7" spans="1:3" x14ac:dyDescent="0.25">
      <c r="A7" t="s">
        <v>213</v>
      </c>
      <c r="B7">
        <v>1185</v>
      </c>
      <c r="C7">
        <v>100322.1</v>
      </c>
    </row>
    <row r="8" spans="1:3" x14ac:dyDescent="0.25">
      <c r="A8" t="s">
        <v>225</v>
      </c>
      <c r="B8">
        <v>1558</v>
      </c>
      <c r="C8">
        <v>96580.42</v>
      </c>
    </row>
    <row r="9" spans="1:3" x14ac:dyDescent="0.25">
      <c r="A9" t="s">
        <v>23</v>
      </c>
      <c r="B9">
        <v>10943</v>
      </c>
      <c r="C9">
        <v>122780.46</v>
      </c>
    </row>
    <row r="10" spans="1:3" x14ac:dyDescent="0.25">
      <c r="A10" t="s">
        <v>25</v>
      </c>
      <c r="B10">
        <v>6899</v>
      </c>
      <c r="C10">
        <v>476582.92</v>
      </c>
    </row>
    <row r="11" spans="1:3" x14ac:dyDescent="0.25">
      <c r="A11" t="s">
        <v>26</v>
      </c>
      <c r="B11">
        <v>12493</v>
      </c>
      <c r="C11">
        <v>1014681.46</v>
      </c>
    </row>
    <row r="12" spans="1:3" x14ac:dyDescent="0.25">
      <c r="A12" t="s">
        <v>27</v>
      </c>
      <c r="B12">
        <v>4163</v>
      </c>
      <c r="C12">
        <v>151782.98000000001</v>
      </c>
    </row>
    <row r="13" spans="1:3" x14ac:dyDescent="0.25">
      <c r="A13" t="s">
        <v>28</v>
      </c>
      <c r="B13">
        <v>5669</v>
      </c>
      <c r="C13">
        <v>697570.45</v>
      </c>
    </row>
    <row r="14" spans="1:3" x14ac:dyDescent="0.25">
      <c r="A14" t="s">
        <v>211</v>
      </c>
      <c r="B14">
        <v>1594</v>
      </c>
      <c r="C14">
        <v>340223.36</v>
      </c>
    </row>
    <row r="15" spans="1:3" x14ac:dyDescent="0.25">
      <c r="A15" t="s">
        <v>150</v>
      </c>
      <c r="B15">
        <v>25888</v>
      </c>
      <c r="C15">
        <v>628042.88</v>
      </c>
    </row>
    <row r="16" spans="1:3" x14ac:dyDescent="0.25">
      <c r="A16" t="s">
        <v>151</v>
      </c>
      <c r="B16">
        <v>37547</v>
      </c>
      <c r="C16">
        <v>927035.43</v>
      </c>
    </row>
    <row r="17" spans="1:3" x14ac:dyDescent="0.25">
      <c r="A17" t="s">
        <v>209</v>
      </c>
      <c r="B17">
        <v>71</v>
      </c>
      <c r="C17">
        <v>2886.86</v>
      </c>
    </row>
    <row r="18" spans="1:3" x14ac:dyDescent="0.25">
      <c r="A18" t="s">
        <v>258</v>
      </c>
      <c r="B18">
        <v>23762</v>
      </c>
      <c r="C18">
        <v>351202.36</v>
      </c>
    </row>
    <row r="19" spans="1:3" x14ac:dyDescent="0.25">
      <c r="A19" t="s">
        <v>29</v>
      </c>
      <c r="B19">
        <v>33099</v>
      </c>
      <c r="C19">
        <v>991646.04</v>
      </c>
    </row>
    <row r="20" spans="1:3" x14ac:dyDescent="0.25">
      <c r="A20" t="s">
        <v>99</v>
      </c>
      <c r="B20">
        <v>57774</v>
      </c>
      <c r="C20">
        <v>1214409.48</v>
      </c>
    </row>
    <row r="21" spans="1:3" x14ac:dyDescent="0.25">
      <c r="A21" t="s">
        <v>101</v>
      </c>
      <c r="B21">
        <v>72711</v>
      </c>
      <c r="C21">
        <v>2259857.88</v>
      </c>
    </row>
    <row r="22" spans="1:3" x14ac:dyDescent="0.25">
      <c r="A22" t="s">
        <v>30</v>
      </c>
      <c r="B22">
        <v>3240</v>
      </c>
      <c r="C22">
        <v>635947.19999999995</v>
      </c>
    </row>
    <row r="23" spans="1:3" x14ac:dyDescent="0.25">
      <c r="A23" t="s">
        <v>179</v>
      </c>
      <c r="B23">
        <v>35050</v>
      </c>
      <c r="C23">
        <v>489298</v>
      </c>
    </row>
    <row r="24" spans="1:3" x14ac:dyDescent="0.25">
      <c r="A24" t="s">
        <v>166</v>
      </c>
      <c r="B24">
        <v>30747</v>
      </c>
      <c r="C24">
        <v>444909.09</v>
      </c>
    </row>
    <row r="25" spans="1:3" x14ac:dyDescent="0.25">
      <c r="A25" t="s">
        <v>31</v>
      </c>
      <c r="B25">
        <v>116223</v>
      </c>
      <c r="C25">
        <v>1416758.37</v>
      </c>
    </row>
    <row r="26" spans="1:3" x14ac:dyDescent="0.25">
      <c r="A26" t="s">
        <v>104</v>
      </c>
      <c r="B26">
        <v>25485</v>
      </c>
      <c r="C26">
        <v>985504.95</v>
      </c>
    </row>
    <row r="27" spans="1:3" x14ac:dyDescent="0.25">
      <c r="A27" t="s">
        <v>32</v>
      </c>
      <c r="B27">
        <v>56589</v>
      </c>
      <c r="C27">
        <v>1560158.73</v>
      </c>
    </row>
    <row r="28" spans="1:3" x14ac:dyDescent="0.25">
      <c r="A28" t="s">
        <v>180</v>
      </c>
      <c r="B28">
        <v>38951</v>
      </c>
      <c r="C28">
        <v>621657.96</v>
      </c>
    </row>
    <row r="29" spans="1:3" x14ac:dyDescent="0.25">
      <c r="A29" t="s">
        <v>33</v>
      </c>
      <c r="B29">
        <v>25235</v>
      </c>
      <c r="C29">
        <v>564506.94999999995</v>
      </c>
    </row>
    <row r="30" spans="1:3" x14ac:dyDescent="0.25">
      <c r="A30" t="s">
        <v>210</v>
      </c>
      <c r="B30">
        <v>9302</v>
      </c>
      <c r="C30">
        <v>765275.54</v>
      </c>
    </row>
    <row r="31" spans="1:3" x14ac:dyDescent="0.25">
      <c r="A31" t="s">
        <v>34</v>
      </c>
      <c r="B31">
        <v>44260</v>
      </c>
      <c r="C31">
        <v>501465.8</v>
      </c>
    </row>
    <row r="32" spans="1:3" x14ac:dyDescent="0.25">
      <c r="A32" t="s">
        <v>273</v>
      </c>
      <c r="B32">
        <v>4882</v>
      </c>
      <c r="C32">
        <v>297362.62</v>
      </c>
    </row>
    <row r="33" spans="1:3" x14ac:dyDescent="0.25">
      <c r="A33" t="s">
        <v>153</v>
      </c>
      <c r="B33">
        <v>13013</v>
      </c>
      <c r="C33">
        <v>516746.23</v>
      </c>
    </row>
    <row r="34" spans="1:3" x14ac:dyDescent="0.25">
      <c r="A34" t="s">
        <v>77</v>
      </c>
      <c r="B34">
        <v>357</v>
      </c>
      <c r="C34">
        <v>500210.55</v>
      </c>
    </row>
    <row r="35" spans="1:3" x14ac:dyDescent="0.25">
      <c r="A35" t="s">
        <v>227</v>
      </c>
      <c r="B35">
        <v>2231</v>
      </c>
      <c r="C35">
        <v>244361.43</v>
      </c>
    </row>
    <row r="36" spans="1:3" x14ac:dyDescent="0.25">
      <c r="A36" t="s">
        <v>220</v>
      </c>
      <c r="B36">
        <v>46464</v>
      </c>
      <c r="C36">
        <v>565002.23999999999</v>
      </c>
    </row>
    <row r="37" spans="1:3" x14ac:dyDescent="0.25">
      <c r="A37" t="s">
        <v>35</v>
      </c>
      <c r="B37">
        <v>59492</v>
      </c>
      <c r="C37">
        <v>1519425.68</v>
      </c>
    </row>
    <row r="38" spans="1:3" x14ac:dyDescent="0.25">
      <c r="A38" t="s">
        <v>36</v>
      </c>
      <c r="B38">
        <v>7322</v>
      </c>
      <c r="C38">
        <v>230057.24</v>
      </c>
    </row>
    <row r="39" spans="1:3" x14ac:dyDescent="0.25">
      <c r="A39" t="s">
        <v>228</v>
      </c>
      <c r="B39">
        <v>15761</v>
      </c>
      <c r="C39">
        <v>472357.17</v>
      </c>
    </row>
    <row r="40" spans="1:3" x14ac:dyDescent="0.25">
      <c r="A40" t="s">
        <v>267</v>
      </c>
      <c r="B40">
        <v>6006</v>
      </c>
      <c r="C40">
        <v>122402.28</v>
      </c>
    </row>
    <row r="41" spans="1:3" x14ac:dyDescent="0.25">
      <c r="A41" t="s">
        <v>145</v>
      </c>
      <c r="B41">
        <v>35165</v>
      </c>
      <c r="C41">
        <v>616794.1</v>
      </c>
    </row>
    <row r="42" spans="1:3" x14ac:dyDescent="0.25">
      <c r="A42" t="s">
        <v>37</v>
      </c>
      <c r="B42">
        <v>63344</v>
      </c>
      <c r="C42">
        <v>1067346.3999999999</v>
      </c>
    </row>
    <row r="43" spans="1:3" x14ac:dyDescent="0.25">
      <c r="A43" t="s">
        <v>169</v>
      </c>
      <c r="B43">
        <v>10589</v>
      </c>
      <c r="C43">
        <v>730217.44</v>
      </c>
    </row>
    <row r="44" spans="1:3" x14ac:dyDescent="0.25">
      <c r="A44" t="s">
        <v>38</v>
      </c>
      <c r="B44">
        <v>11716</v>
      </c>
      <c r="C44">
        <v>395766.48</v>
      </c>
    </row>
    <row r="45" spans="1:3" x14ac:dyDescent="0.25">
      <c r="A45" t="s">
        <v>259</v>
      </c>
      <c r="B45">
        <v>2111</v>
      </c>
      <c r="C45">
        <v>145490.12</v>
      </c>
    </row>
    <row r="46" spans="1:3" x14ac:dyDescent="0.25">
      <c r="A46" t="s">
        <v>39</v>
      </c>
      <c r="B46">
        <v>8985</v>
      </c>
      <c r="C46">
        <v>1239750.3</v>
      </c>
    </row>
    <row r="47" spans="1:3" x14ac:dyDescent="0.25">
      <c r="A47" t="s">
        <v>40</v>
      </c>
      <c r="B47">
        <v>3939</v>
      </c>
      <c r="C47">
        <v>515615.1</v>
      </c>
    </row>
    <row r="48" spans="1:3" x14ac:dyDescent="0.25">
      <c r="A48" t="s">
        <v>181</v>
      </c>
      <c r="B48">
        <v>10570</v>
      </c>
      <c r="C48">
        <v>617710.80000000005</v>
      </c>
    </row>
    <row r="49" spans="1:3" x14ac:dyDescent="0.25">
      <c r="A49" t="s">
        <v>182</v>
      </c>
      <c r="B49">
        <v>5991</v>
      </c>
      <c r="C49">
        <v>202256.16</v>
      </c>
    </row>
    <row r="50" spans="1:3" x14ac:dyDescent="0.25">
      <c r="A50" t="s">
        <v>42</v>
      </c>
      <c r="B50">
        <v>93485</v>
      </c>
      <c r="C50">
        <v>1914572.8</v>
      </c>
    </row>
    <row r="51" spans="1:3" x14ac:dyDescent="0.25">
      <c r="A51" t="s">
        <v>260</v>
      </c>
      <c r="B51">
        <v>42943</v>
      </c>
      <c r="C51">
        <v>367592.08</v>
      </c>
    </row>
    <row r="52" spans="1:3" x14ac:dyDescent="0.25">
      <c r="A52" t="s">
        <v>183</v>
      </c>
      <c r="B52">
        <v>778</v>
      </c>
      <c r="C52">
        <v>293446.03999999998</v>
      </c>
    </row>
    <row r="53" spans="1:3" x14ac:dyDescent="0.25">
      <c r="A53" t="s">
        <v>43</v>
      </c>
      <c r="B53">
        <v>91267</v>
      </c>
      <c r="C53">
        <v>1596259.83</v>
      </c>
    </row>
    <row r="54" spans="1:3" x14ac:dyDescent="0.25">
      <c r="A54" t="s">
        <v>44</v>
      </c>
      <c r="B54">
        <v>28870</v>
      </c>
      <c r="C54">
        <v>553149.19999999995</v>
      </c>
    </row>
    <row r="55" spans="1:3" x14ac:dyDescent="0.25">
      <c r="A55" t="s">
        <v>116</v>
      </c>
      <c r="B55">
        <v>10273</v>
      </c>
      <c r="C55">
        <v>499884.18</v>
      </c>
    </row>
    <row r="56" spans="1:3" x14ac:dyDescent="0.25">
      <c r="A56" t="s">
        <v>154</v>
      </c>
      <c r="B56">
        <v>4961</v>
      </c>
      <c r="C56">
        <v>397128.05</v>
      </c>
    </row>
    <row r="57" spans="1:3" x14ac:dyDescent="0.25">
      <c r="A57" t="s">
        <v>268</v>
      </c>
      <c r="B57">
        <v>1535</v>
      </c>
      <c r="C57">
        <v>43133.5</v>
      </c>
    </row>
    <row r="58" spans="1:3" x14ac:dyDescent="0.25">
      <c r="A58" t="s">
        <v>212</v>
      </c>
      <c r="B58">
        <v>22878</v>
      </c>
      <c r="C58">
        <v>678103.92</v>
      </c>
    </row>
    <row r="59" spans="1:3" x14ac:dyDescent="0.25">
      <c r="A59" t="s">
        <v>45</v>
      </c>
      <c r="B59">
        <v>110661</v>
      </c>
      <c r="C59">
        <v>680565.15</v>
      </c>
    </row>
    <row r="60" spans="1:3" x14ac:dyDescent="0.25">
      <c r="A60" t="s">
        <v>234</v>
      </c>
      <c r="B60">
        <v>12582</v>
      </c>
      <c r="C60">
        <v>758191.32</v>
      </c>
    </row>
    <row r="61" spans="1:3" x14ac:dyDescent="0.25">
      <c r="A61" t="s">
        <v>251</v>
      </c>
      <c r="B61">
        <v>30725</v>
      </c>
      <c r="C61">
        <v>268536.5</v>
      </c>
    </row>
    <row r="62" spans="1:3" x14ac:dyDescent="0.25">
      <c r="A62" t="s">
        <v>269</v>
      </c>
      <c r="B62">
        <v>5011</v>
      </c>
      <c r="C62">
        <v>97113.18</v>
      </c>
    </row>
    <row r="63" spans="1:3" x14ac:dyDescent="0.25">
      <c r="A63" t="s">
        <v>48</v>
      </c>
      <c r="B63">
        <v>1144</v>
      </c>
      <c r="C63">
        <v>264149.59999999998</v>
      </c>
    </row>
    <row r="64" spans="1:3" x14ac:dyDescent="0.25">
      <c r="A64" t="s">
        <v>184</v>
      </c>
      <c r="B64">
        <v>3817</v>
      </c>
      <c r="C64">
        <v>285816.96000000002</v>
      </c>
    </row>
    <row r="65" spans="1:3" x14ac:dyDescent="0.25">
      <c r="A65" t="s">
        <v>49</v>
      </c>
      <c r="B65">
        <v>-6805</v>
      </c>
      <c r="C65">
        <v>-336711.4</v>
      </c>
    </row>
    <row r="66" spans="1:3" x14ac:dyDescent="0.25">
      <c r="A66" t="s">
        <v>50</v>
      </c>
      <c r="B66">
        <v>-7814</v>
      </c>
      <c r="C66">
        <v>-121429.56</v>
      </c>
    </row>
    <row r="67" spans="1:3" x14ac:dyDescent="0.25">
      <c r="A67" t="s">
        <v>156</v>
      </c>
      <c r="B67">
        <v>-1575</v>
      </c>
      <c r="C67">
        <v>-101776.5</v>
      </c>
    </row>
    <row r="68" spans="1:3" x14ac:dyDescent="0.25">
      <c r="A68" t="s">
        <v>245</v>
      </c>
      <c r="B68">
        <v>-39252</v>
      </c>
      <c r="C68">
        <v>-373679.04</v>
      </c>
    </row>
    <row r="69" spans="1:3" x14ac:dyDescent="0.25">
      <c r="A69" t="s">
        <v>261</v>
      </c>
      <c r="B69">
        <v>-1508</v>
      </c>
      <c r="C69">
        <v>-51030.720000000001</v>
      </c>
    </row>
    <row r="70" spans="1:3" x14ac:dyDescent="0.25">
      <c r="A70" t="s">
        <v>157</v>
      </c>
      <c r="B70">
        <v>-1652</v>
      </c>
      <c r="C70">
        <v>-57291.360000000001</v>
      </c>
    </row>
    <row r="71" spans="1:3" x14ac:dyDescent="0.25">
      <c r="A71" t="s">
        <v>177</v>
      </c>
      <c r="B71">
        <v>-7831</v>
      </c>
      <c r="C71">
        <v>-431174.86</v>
      </c>
    </row>
    <row r="72" spans="1:3" x14ac:dyDescent="0.25">
      <c r="A72" t="s">
        <v>262</v>
      </c>
      <c r="B72">
        <v>-4968</v>
      </c>
      <c r="C72">
        <v>-120225.60000000001</v>
      </c>
    </row>
    <row r="73" spans="1:3" x14ac:dyDescent="0.25">
      <c r="A73" t="s">
        <v>265</v>
      </c>
      <c r="B73">
        <v>-150</v>
      </c>
      <c r="C73">
        <v>-47907</v>
      </c>
    </row>
    <row r="74" spans="1:3" x14ac:dyDescent="0.25">
      <c r="A74" t="s">
        <v>235</v>
      </c>
      <c r="B74">
        <v>-746</v>
      </c>
      <c r="C74">
        <v>-47878.28</v>
      </c>
    </row>
    <row r="75" spans="1:3" x14ac:dyDescent="0.25">
      <c r="A75" t="s">
        <v>221</v>
      </c>
      <c r="B75">
        <v>-21282</v>
      </c>
      <c r="C75">
        <v>-265386.53999999998</v>
      </c>
    </row>
    <row r="76" spans="1:3" x14ac:dyDescent="0.25">
      <c r="A76" t="s">
        <v>246</v>
      </c>
      <c r="B76">
        <v>-1327</v>
      </c>
      <c r="C76">
        <v>-49284.78</v>
      </c>
    </row>
    <row r="77" spans="1:3" x14ac:dyDescent="0.25">
      <c r="A77" t="s">
        <v>236</v>
      </c>
      <c r="B77">
        <v>-10875</v>
      </c>
      <c r="C77">
        <v>-247188.75</v>
      </c>
    </row>
    <row r="78" spans="1:3" x14ac:dyDescent="0.25">
      <c r="A78" t="s">
        <v>51</v>
      </c>
      <c r="B78">
        <v>-736</v>
      </c>
      <c r="C78">
        <v>-97336</v>
      </c>
    </row>
    <row r="79" spans="1:3" x14ac:dyDescent="0.25">
      <c r="A79" t="s">
        <v>52</v>
      </c>
      <c r="B79">
        <v>-547</v>
      </c>
      <c r="C79">
        <v>-169881.79</v>
      </c>
    </row>
    <row r="80" spans="1:3" x14ac:dyDescent="0.25">
      <c r="A80" t="s">
        <v>158</v>
      </c>
      <c r="B80">
        <v>-7755</v>
      </c>
      <c r="C80">
        <v>-103063.95</v>
      </c>
    </row>
    <row r="81" spans="1:3" x14ac:dyDescent="0.25">
      <c r="A81" t="s">
        <v>159</v>
      </c>
      <c r="B81">
        <v>-923</v>
      </c>
      <c r="C81">
        <v>-52195.65</v>
      </c>
    </row>
    <row r="82" spans="1:3" x14ac:dyDescent="0.25">
      <c r="A82" t="s">
        <v>207</v>
      </c>
      <c r="B82">
        <v>-305</v>
      </c>
      <c r="C82">
        <v>-9915.5499999999993</v>
      </c>
    </row>
    <row r="83" spans="1:3" x14ac:dyDescent="0.25">
      <c r="A83" t="s">
        <v>266</v>
      </c>
      <c r="B83">
        <v>-843</v>
      </c>
      <c r="C83">
        <v>-49231.199999999997</v>
      </c>
    </row>
    <row r="84" spans="1:3" x14ac:dyDescent="0.25">
      <c r="A84" t="s">
        <v>160</v>
      </c>
      <c r="B84">
        <v>-1171</v>
      </c>
      <c r="C84">
        <v>-34860.67</v>
      </c>
    </row>
    <row r="85" spans="1:3" x14ac:dyDescent="0.25">
      <c r="A85" t="s">
        <v>255</v>
      </c>
      <c r="B85">
        <v>-8825</v>
      </c>
      <c r="C85">
        <v>-352558.75</v>
      </c>
    </row>
    <row r="86" spans="1:3" x14ac:dyDescent="0.25">
      <c r="A86" t="s">
        <v>229</v>
      </c>
      <c r="B86">
        <v>-10922</v>
      </c>
      <c r="C86">
        <v>-218767.66</v>
      </c>
    </row>
    <row r="87" spans="1:3" x14ac:dyDescent="0.25">
      <c r="A87" t="s">
        <v>185</v>
      </c>
      <c r="B87">
        <v>-5576</v>
      </c>
      <c r="C87">
        <v>-276123.52000000002</v>
      </c>
    </row>
    <row r="88" spans="1:3" x14ac:dyDescent="0.25">
      <c r="A88" t="s">
        <v>53</v>
      </c>
      <c r="B88">
        <v>-16243</v>
      </c>
      <c r="C88">
        <v>-718590.32</v>
      </c>
    </row>
    <row r="89" spans="1:3" x14ac:dyDescent="0.25">
      <c r="A89" t="s">
        <v>222</v>
      </c>
      <c r="B89">
        <v>-34873</v>
      </c>
      <c r="C89">
        <v>-262942.42</v>
      </c>
    </row>
    <row r="90" spans="1:3" x14ac:dyDescent="0.25">
      <c r="A90" t="s">
        <v>186</v>
      </c>
      <c r="B90">
        <v>-1368</v>
      </c>
      <c r="C90">
        <v>-156376.07999999999</v>
      </c>
    </row>
    <row r="91" spans="1:3" x14ac:dyDescent="0.25">
      <c r="A91" t="s">
        <v>54</v>
      </c>
      <c r="B91">
        <v>-26121</v>
      </c>
      <c r="C91">
        <v>-432563.76</v>
      </c>
    </row>
    <row r="92" spans="1:3" x14ac:dyDescent="0.25">
      <c r="A92" t="s">
        <v>55</v>
      </c>
      <c r="B92">
        <v>-3890</v>
      </c>
      <c r="C92">
        <v>-165947.4</v>
      </c>
    </row>
    <row r="93" spans="1:3" x14ac:dyDescent="0.25">
      <c r="A93" t="s">
        <v>56</v>
      </c>
      <c r="B93">
        <v>-5295</v>
      </c>
      <c r="C93">
        <v>-397230.9</v>
      </c>
    </row>
    <row r="94" spans="1:3" x14ac:dyDescent="0.25">
      <c r="A94" t="s">
        <v>57</v>
      </c>
      <c r="B94">
        <v>-4885</v>
      </c>
      <c r="C94">
        <v>-322605.40000000002</v>
      </c>
    </row>
    <row r="95" spans="1:3" x14ac:dyDescent="0.25">
      <c r="A95" t="s">
        <v>140</v>
      </c>
      <c r="B95">
        <v>-10132</v>
      </c>
      <c r="C95">
        <v>-591607.48</v>
      </c>
    </row>
    <row r="96" spans="1:3" x14ac:dyDescent="0.25">
      <c r="A96" t="s">
        <v>263</v>
      </c>
      <c r="B96">
        <v>-9464</v>
      </c>
      <c r="C96">
        <v>-128615.76</v>
      </c>
    </row>
    <row r="97" spans="1:3" x14ac:dyDescent="0.25">
      <c r="A97" t="s">
        <v>58</v>
      </c>
      <c r="B97">
        <v>-14247</v>
      </c>
      <c r="C97">
        <v>-346914.45</v>
      </c>
    </row>
    <row r="98" spans="1:3" x14ac:dyDescent="0.25">
      <c r="A98" t="s">
        <v>59</v>
      </c>
      <c r="B98">
        <v>-11997</v>
      </c>
      <c r="C98">
        <v>-182594.34</v>
      </c>
    </row>
    <row r="99" spans="1:3" x14ac:dyDescent="0.25">
      <c r="A99" t="s">
        <v>187</v>
      </c>
      <c r="B99">
        <v>-5076</v>
      </c>
      <c r="C99">
        <v>-242175.96</v>
      </c>
    </row>
    <row r="100" spans="1:3" x14ac:dyDescent="0.25">
      <c r="A100" t="s">
        <v>60</v>
      </c>
      <c r="B100">
        <v>-854</v>
      </c>
      <c r="C100">
        <v>-145752.18</v>
      </c>
    </row>
    <row r="101" spans="1:3" x14ac:dyDescent="0.25">
      <c r="A101" t="s">
        <v>61</v>
      </c>
      <c r="B101">
        <v>-3915</v>
      </c>
      <c r="C101">
        <v>-169832.7</v>
      </c>
    </row>
    <row r="102" spans="1:3" x14ac:dyDescent="0.25">
      <c r="A102" t="s">
        <v>62</v>
      </c>
      <c r="B102">
        <v>-743</v>
      </c>
      <c r="C102">
        <v>-177086.62</v>
      </c>
    </row>
    <row r="103" spans="1:3" x14ac:dyDescent="0.25">
      <c r="A103" t="s">
        <v>252</v>
      </c>
      <c r="B103">
        <v>-4536</v>
      </c>
      <c r="C103">
        <v>-243038.88</v>
      </c>
    </row>
    <row r="104" spans="1:3" x14ac:dyDescent="0.25">
      <c r="A104" t="s">
        <v>161</v>
      </c>
      <c r="B104">
        <v>-1095</v>
      </c>
      <c r="C104">
        <v>-245958.9</v>
      </c>
    </row>
    <row r="105" spans="1:3" x14ac:dyDescent="0.25">
      <c r="A105" t="s">
        <v>162</v>
      </c>
      <c r="B105">
        <v>-1077</v>
      </c>
      <c r="C105">
        <v>-77737.86</v>
      </c>
    </row>
    <row r="106" spans="1:3" x14ac:dyDescent="0.25">
      <c r="A106" t="s">
        <v>63</v>
      </c>
      <c r="B106">
        <v>-583</v>
      </c>
      <c r="C106">
        <v>-142187.87</v>
      </c>
    </row>
    <row r="107" spans="1:3" x14ac:dyDescent="0.25">
      <c r="A107" t="s">
        <v>274</v>
      </c>
      <c r="B107">
        <v>-5456</v>
      </c>
      <c r="C107">
        <v>-241646.24</v>
      </c>
    </row>
    <row r="108" spans="1:3" x14ac:dyDescent="0.25">
      <c r="A108" t="s">
        <v>163</v>
      </c>
      <c r="B108">
        <v>-11522</v>
      </c>
      <c r="C108">
        <v>-323537.76</v>
      </c>
    </row>
    <row r="109" spans="1:3" x14ac:dyDescent="0.25">
      <c r="A109" t="s">
        <v>64</v>
      </c>
      <c r="B109">
        <v>-706</v>
      </c>
      <c r="C109">
        <v>-79100.240000000005</v>
      </c>
    </row>
    <row r="110" spans="1:3" x14ac:dyDescent="0.25">
      <c r="A110" t="s">
        <v>237</v>
      </c>
      <c r="B110">
        <v>-10011</v>
      </c>
      <c r="C110">
        <v>-241865.76</v>
      </c>
    </row>
    <row r="111" spans="1:3" x14ac:dyDescent="0.25">
      <c r="A111" t="s">
        <v>65</v>
      </c>
      <c r="B111">
        <v>-10120</v>
      </c>
      <c r="C111">
        <v>-258464.8</v>
      </c>
    </row>
    <row r="112" spans="1:3" x14ac:dyDescent="0.25">
      <c r="A112" t="s">
        <v>66</v>
      </c>
      <c r="B112">
        <v>-2341</v>
      </c>
      <c r="C112">
        <v>-126531.05</v>
      </c>
    </row>
    <row r="113" spans="1:3" x14ac:dyDescent="0.25">
      <c r="A113" t="s">
        <v>188</v>
      </c>
      <c r="B113">
        <v>-6573</v>
      </c>
      <c r="C113">
        <v>-213622.5</v>
      </c>
    </row>
    <row r="114" spans="1:3" x14ac:dyDescent="0.25">
      <c r="A114" t="s">
        <v>223</v>
      </c>
      <c r="B114">
        <v>-2948</v>
      </c>
      <c r="C114">
        <v>-270508.48</v>
      </c>
    </row>
    <row r="115" spans="1:3" x14ac:dyDescent="0.25">
      <c r="A115" t="s">
        <v>224</v>
      </c>
      <c r="B115">
        <v>-5297</v>
      </c>
      <c r="C115">
        <v>-105039.51</v>
      </c>
    </row>
    <row r="116" spans="1:3" x14ac:dyDescent="0.25">
      <c r="A116" t="s">
        <v>67</v>
      </c>
      <c r="B116">
        <v>-5734</v>
      </c>
      <c r="C116">
        <v>-227983.84</v>
      </c>
    </row>
    <row r="117" spans="1:3" x14ac:dyDescent="0.25">
      <c r="A117" t="s">
        <v>68</v>
      </c>
      <c r="B117">
        <v>-7604</v>
      </c>
      <c r="C117">
        <v>-351532.92</v>
      </c>
    </row>
    <row r="118" spans="1:3" x14ac:dyDescent="0.25">
      <c r="A118" t="s">
        <v>164</v>
      </c>
      <c r="B118">
        <v>-15703</v>
      </c>
      <c r="C118">
        <v>-162211.99</v>
      </c>
    </row>
    <row r="119" spans="1:3" x14ac:dyDescent="0.25">
      <c r="A119" t="s">
        <v>270</v>
      </c>
      <c r="B119">
        <v>-1295</v>
      </c>
      <c r="C119">
        <v>-149546.6</v>
      </c>
    </row>
    <row r="120" spans="1:3" x14ac:dyDescent="0.25">
      <c r="A120" t="s">
        <v>69</v>
      </c>
      <c r="B120">
        <v>-15144</v>
      </c>
      <c r="C120">
        <v>-346343.28</v>
      </c>
    </row>
    <row r="121" spans="1:3" x14ac:dyDescent="0.25">
      <c r="A121" t="s">
        <v>165</v>
      </c>
      <c r="B121">
        <v>-3791</v>
      </c>
      <c r="C121">
        <v>-219119.8</v>
      </c>
    </row>
    <row r="122" spans="1:3" x14ac:dyDescent="0.25">
      <c r="A122" t="s">
        <v>243</v>
      </c>
      <c r="B122">
        <v>-7967</v>
      </c>
      <c r="C122">
        <v>-258051.13</v>
      </c>
    </row>
    <row r="123" spans="1:3" x14ac:dyDescent="0.25">
      <c r="A123" t="s">
        <v>70</v>
      </c>
      <c r="B123">
        <v>-427</v>
      </c>
      <c r="C123">
        <v>-56709.87</v>
      </c>
    </row>
    <row r="124" spans="1:3" x14ac:dyDescent="0.25">
      <c r="A124" t="s">
        <v>141</v>
      </c>
      <c r="B124">
        <v>-1852</v>
      </c>
      <c r="C124">
        <v>-140807.56</v>
      </c>
    </row>
    <row r="125" spans="1:3" x14ac:dyDescent="0.25">
      <c r="A125" t="s">
        <v>189</v>
      </c>
      <c r="B125">
        <v>-1142</v>
      </c>
      <c r="C125">
        <v>-24838.5</v>
      </c>
    </row>
    <row r="126" spans="1:3" x14ac:dyDescent="0.25">
      <c r="A126" t="s">
        <v>71</v>
      </c>
      <c r="B126">
        <v>-2570</v>
      </c>
      <c r="C126">
        <v>-45411.9</v>
      </c>
    </row>
    <row r="127" spans="1:3" x14ac:dyDescent="0.25">
      <c r="A127" t="s">
        <v>72</v>
      </c>
      <c r="B127">
        <v>-1444</v>
      </c>
      <c r="C127">
        <v>-51059.839999999997</v>
      </c>
    </row>
    <row r="128" spans="1:3" x14ac:dyDescent="0.25">
      <c r="A128" t="s">
        <v>214</v>
      </c>
      <c r="B128">
        <v>-8080</v>
      </c>
      <c r="C128">
        <v>-92435.199999999997</v>
      </c>
    </row>
    <row r="129" spans="1:3" x14ac:dyDescent="0.25">
      <c r="A129" t="s">
        <v>215</v>
      </c>
      <c r="B129">
        <v>-7168</v>
      </c>
      <c r="C129">
        <v>-444846.08000000002</v>
      </c>
    </row>
    <row r="130" spans="1:3" x14ac:dyDescent="0.25">
      <c r="A130" t="s">
        <v>256</v>
      </c>
      <c r="B130">
        <v>-4665</v>
      </c>
      <c r="C130">
        <v>-374599.5</v>
      </c>
    </row>
    <row r="131" spans="1:3" x14ac:dyDescent="0.25">
      <c r="A131" t="s">
        <v>73</v>
      </c>
      <c r="B131">
        <v>-5231</v>
      </c>
      <c r="C131">
        <v>-23539.5</v>
      </c>
    </row>
    <row r="132" spans="1:3" x14ac:dyDescent="0.25">
      <c r="A132" t="s">
        <v>190</v>
      </c>
      <c r="B132">
        <v>-1618</v>
      </c>
      <c r="C132">
        <v>-178643.38</v>
      </c>
    </row>
    <row r="133" spans="1:3" x14ac:dyDescent="0.25">
      <c r="A133" t="s">
        <v>247</v>
      </c>
      <c r="B133">
        <v>-15899</v>
      </c>
      <c r="C133">
        <v>-300809.08</v>
      </c>
    </row>
    <row r="134" spans="1:3" x14ac:dyDescent="0.25">
      <c r="A134" t="s">
        <v>191</v>
      </c>
      <c r="B134">
        <v>-3172</v>
      </c>
      <c r="C134">
        <v>-69974.320000000007</v>
      </c>
    </row>
    <row r="135" spans="1:3" x14ac:dyDescent="0.25">
      <c r="A135" t="s">
        <v>167</v>
      </c>
      <c r="B135">
        <v>-2392</v>
      </c>
      <c r="C135">
        <v>-47816.08</v>
      </c>
    </row>
    <row r="136" spans="1:3" x14ac:dyDescent="0.25">
      <c r="A136" t="s">
        <v>216</v>
      </c>
      <c r="B136">
        <v>-1270</v>
      </c>
      <c r="C136">
        <v>-227939.6</v>
      </c>
    </row>
    <row r="137" spans="1:3" x14ac:dyDescent="0.25">
      <c r="A137" t="s">
        <v>238</v>
      </c>
      <c r="B137">
        <v>-514</v>
      </c>
      <c r="C137">
        <v>-71749.259999999995</v>
      </c>
    </row>
    <row r="138" spans="1:3" x14ac:dyDescent="0.25">
      <c r="A138" t="s">
        <v>239</v>
      </c>
      <c r="B138">
        <v>-12501</v>
      </c>
      <c r="C138">
        <v>-202516.2</v>
      </c>
    </row>
    <row r="139" spans="1:3" x14ac:dyDescent="0.25">
      <c r="A139" t="s">
        <v>74</v>
      </c>
      <c r="B139">
        <v>-4584</v>
      </c>
      <c r="C139">
        <v>-325051.44</v>
      </c>
    </row>
    <row r="140" spans="1:3" x14ac:dyDescent="0.25">
      <c r="A140" t="s">
        <v>75</v>
      </c>
      <c r="B140">
        <v>-2649</v>
      </c>
      <c r="C140">
        <v>-44238.3</v>
      </c>
    </row>
    <row r="141" spans="1:3" x14ac:dyDescent="0.25">
      <c r="A141" t="s">
        <v>76</v>
      </c>
      <c r="B141">
        <v>-3803</v>
      </c>
      <c r="C141">
        <v>-445103.12</v>
      </c>
    </row>
    <row r="142" spans="1:3" x14ac:dyDescent="0.25">
      <c r="A142" t="s">
        <v>271</v>
      </c>
      <c r="B142">
        <v>-3251</v>
      </c>
      <c r="C142">
        <v>-126073.78</v>
      </c>
    </row>
    <row r="143" spans="1:3" x14ac:dyDescent="0.25">
      <c r="A143" t="s">
        <v>240</v>
      </c>
      <c r="B143">
        <v>-560</v>
      </c>
      <c r="C143">
        <v>-98257.600000000006</v>
      </c>
    </row>
    <row r="144" spans="1:3" x14ac:dyDescent="0.25">
      <c r="A144" t="s">
        <v>78</v>
      </c>
      <c r="B144">
        <v>-1372</v>
      </c>
      <c r="C144">
        <v>-51010.96</v>
      </c>
    </row>
    <row r="145" spans="1:3" x14ac:dyDescent="0.25">
      <c r="A145" t="s">
        <v>192</v>
      </c>
      <c r="B145">
        <v>-1758</v>
      </c>
      <c r="C145">
        <v>-83188.56</v>
      </c>
    </row>
    <row r="146" spans="1:3" x14ac:dyDescent="0.25">
      <c r="A146" t="s">
        <v>272</v>
      </c>
      <c r="B146">
        <v>-450</v>
      </c>
      <c r="C146">
        <v>-145471.5</v>
      </c>
    </row>
    <row r="147" spans="1:3" x14ac:dyDescent="0.25">
      <c r="A147" t="s">
        <v>79</v>
      </c>
      <c r="B147">
        <v>-43833</v>
      </c>
      <c r="C147">
        <v>-571143.99</v>
      </c>
    </row>
    <row r="148" spans="1:3" x14ac:dyDescent="0.25">
      <c r="A148" t="s">
        <v>217</v>
      </c>
      <c r="B148">
        <v>-10463</v>
      </c>
      <c r="C148">
        <v>-198587.74</v>
      </c>
    </row>
    <row r="149" spans="1:3" x14ac:dyDescent="0.25">
      <c r="A149" t="s">
        <v>168</v>
      </c>
      <c r="B149">
        <v>-10485</v>
      </c>
      <c r="C149">
        <v>-241993.8</v>
      </c>
    </row>
    <row r="150" spans="1:3" x14ac:dyDescent="0.25">
      <c r="A150" t="s">
        <v>80</v>
      </c>
      <c r="B150">
        <v>-33680</v>
      </c>
      <c r="C150">
        <v>-476235.2</v>
      </c>
    </row>
    <row r="151" spans="1:3" x14ac:dyDescent="0.25">
      <c r="A151" t="s">
        <v>193</v>
      </c>
      <c r="B151">
        <v>-15100</v>
      </c>
      <c r="C151">
        <v>-365722</v>
      </c>
    </row>
    <row r="152" spans="1:3" x14ac:dyDescent="0.25">
      <c r="A152" t="s">
        <v>81</v>
      </c>
      <c r="B152">
        <v>-7900</v>
      </c>
      <c r="C152">
        <v>-207770</v>
      </c>
    </row>
    <row r="153" spans="1:3" x14ac:dyDescent="0.25">
      <c r="A153" t="s">
        <v>173</v>
      </c>
      <c r="B153">
        <v>-3007</v>
      </c>
      <c r="C153">
        <v>-144516.42000000001</v>
      </c>
    </row>
    <row r="154" spans="1:3" x14ac:dyDescent="0.25">
      <c r="A154" t="s">
        <v>82</v>
      </c>
      <c r="B154">
        <v>-1406</v>
      </c>
      <c r="C154">
        <v>-72141.86</v>
      </c>
    </row>
    <row r="155" spans="1:3" x14ac:dyDescent="0.25">
      <c r="A155" t="s">
        <v>248</v>
      </c>
      <c r="B155">
        <v>-1771</v>
      </c>
      <c r="C155">
        <v>-221640.65</v>
      </c>
    </row>
    <row r="156" spans="1:3" x14ac:dyDescent="0.25">
      <c r="A156" t="s">
        <v>194</v>
      </c>
      <c r="B156">
        <v>-19613</v>
      </c>
      <c r="C156">
        <v>-302040.2</v>
      </c>
    </row>
    <row r="157" spans="1:3" x14ac:dyDescent="0.25">
      <c r="A157" t="s">
        <v>264</v>
      </c>
      <c r="B157">
        <v>-1172</v>
      </c>
      <c r="C157">
        <v>-193133.88</v>
      </c>
    </row>
    <row r="158" spans="1:3" x14ac:dyDescent="0.25">
      <c r="A158" t="s">
        <v>170</v>
      </c>
      <c r="B158">
        <v>-420</v>
      </c>
      <c r="C158">
        <v>-50416.800000000003</v>
      </c>
    </row>
    <row r="159" spans="1:3" x14ac:dyDescent="0.25">
      <c r="A159" t="s">
        <v>142</v>
      </c>
      <c r="B159">
        <v>-7167</v>
      </c>
      <c r="C159">
        <v>-140114.85</v>
      </c>
    </row>
    <row r="160" spans="1:3" x14ac:dyDescent="0.25">
      <c r="A160" t="s">
        <v>171</v>
      </c>
      <c r="B160">
        <v>-19747</v>
      </c>
      <c r="C160">
        <v>-149484.79</v>
      </c>
    </row>
    <row r="161" spans="1:3" x14ac:dyDescent="0.25">
      <c r="A161" t="s">
        <v>178</v>
      </c>
      <c r="B161">
        <v>-19012</v>
      </c>
      <c r="C161">
        <v>-450964.64</v>
      </c>
    </row>
    <row r="162" spans="1:3" x14ac:dyDescent="0.25">
      <c r="A162" t="s">
        <v>83</v>
      </c>
      <c r="B162">
        <v>-489</v>
      </c>
      <c r="C162">
        <v>-50983.14</v>
      </c>
    </row>
    <row r="163" spans="1:3" x14ac:dyDescent="0.25">
      <c r="A163" t="s">
        <v>3</v>
      </c>
      <c r="B163">
        <v>-18717</v>
      </c>
      <c r="C163">
        <v>-249871.95</v>
      </c>
    </row>
    <row r="164" spans="1:3" x14ac:dyDescent="0.25">
      <c r="A164" t="s">
        <v>230</v>
      </c>
      <c r="B164">
        <v>-905</v>
      </c>
      <c r="C164">
        <v>-119260.9</v>
      </c>
    </row>
    <row r="165" spans="1:3" x14ac:dyDescent="0.25">
      <c r="A165" t="s">
        <v>84</v>
      </c>
      <c r="B165">
        <v>-8171</v>
      </c>
      <c r="C165">
        <v>-50006.52</v>
      </c>
    </row>
    <row r="166" spans="1:3" x14ac:dyDescent="0.25">
      <c r="A166" t="s">
        <v>218</v>
      </c>
      <c r="B166">
        <v>-4337</v>
      </c>
      <c r="C166">
        <v>-45972.2</v>
      </c>
    </row>
    <row r="167" spans="1:3" x14ac:dyDescent="0.25">
      <c r="A167" t="s">
        <v>195</v>
      </c>
      <c r="B167">
        <v>-2207</v>
      </c>
      <c r="C167">
        <v>-93554.73</v>
      </c>
    </row>
    <row r="168" spans="1:3" x14ac:dyDescent="0.25">
      <c r="A168" t="s">
        <v>174</v>
      </c>
      <c r="B168">
        <v>-9429</v>
      </c>
      <c r="C168">
        <v>-339066.84</v>
      </c>
    </row>
    <row r="169" spans="1:3" x14ac:dyDescent="0.25">
      <c r="A169" t="s">
        <v>196</v>
      </c>
      <c r="B169">
        <v>-6317</v>
      </c>
      <c r="C169">
        <v>-402203.39</v>
      </c>
    </row>
    <row r="170" spans="1:3" x14ac:dyDescent="0.25">
      <c r="A170" t="s">
        <v>85</v>
      </c>
      <c r="B170">
        <v>-1513</v>
      </c>
      <c r="C170">
        <v>-141752.97</v>
      </c>
    </row>
    <row r="171" spans="1:3" x14ac:dyDescent="0.25">
      <c r="A171" t="s">
        <v>249</v>
      </c>
      <c r="B171">
        <v>-9289</v>
      </c>
      <c r="C171">
        <v>-145187.07</v>
      </c>
    </row>
    <row r="172" spans="1:3" x14ac:dyDescent="0.25">
      <c r="A172" t="s">
        <v>86</v>
      </c>
      <c r="B172">
        <v>-142285</v>
      </c>
      <c r="C172">
        <v>-8963955</v>
      </c>
    </row>
    <row r="173" spans="1:3" x14ac:dyDescent="0.25">
      <c r="A173" t="s">
        <v>250</v>
      </c>
      <c r="B173">
        <v>-9525</v>
      </c>
      <c r="C173">
        <v>-203073</v>
      </c>
    </row>
    <row r="174" spans="1:3" x14ac:dyDescent="0.25">
      <c r="A174" t="s">
        <v>87</v>
      </c>
      <c r="B174">
        <v>-4525</v>
      </c>
      <c r="C174">
        <v>-88147</v>
      </c>
    </row>
    <row r="175" spans="1:3" x14ac:dyDescent="0.25">
      <c r="A175" t="s">
        <v>231</v>
      </c>
      <c r="B175">
        <v>-761</v>
      </c>
      <c r="C175">
        <v>-49373.68</v>
      </c>
    </row>
    <row r="176" spans="1:3" x14ac:dyDescent="0.25">
      <c r="A176" t="s">
        <v>88</v>
      </c>
      <c r="B176">
        <v>-4155</v>
      </c>
      <c r="C176">
        <v>-311957.40000000002</v>
      </c>
    </row>
    <row r="177" spans="1:3" x14ac:dyDescent="0.25">
      <c r="A177" t="s">
        <v>172</v>
      </c>
      <c r="B177">
        <v>-7146</v>
      </c>
      <c r="C177">
        <v>-234031.5</v>
      </c>
    </row>
    <row r="178" spans="1:3" x14ac:dyDescent="0.25">
      <c r="A178" t="s">
        <v>155</v>
      </c>
      <c r="B178">
        <v>-1283</v>
      </c>
      <c r="C178">
        <v>-96994.8</v>
      </c>
    </row>
    <row r="179" spans="1:3" x14ac:dyDescent="0.25">
      <c r="A179" t="s">
        <v>89</v>
      </c>
      <c r="B179">
        <v>-2147</v>
      </c>
      <c r="C179">
        <v>-397688.81</v>
      </c>
    </row>
    <row r="180" spans="1:3" x14ac:dyDescent="0.25">
      <c r="A180" t="s">
        <v>244</v>
      </c>
      <c r="B180">
        <v>-8007</v>
      </c>
      <c r="C180">
        <v>-180798.06</v>
      </c>
    </row>
    <row r="181" spans="1:3" x14ac:dyDescent="0.25">
      <c r="A181" t="s">
        <v>90</v>
      </c>
      <c r="B181">
        <v>-7832</v>
      </c>
      <c r="C181">
        <v>-395750.96</v>
      </c>
    </row>
    <row r="182" spans="1:3" x14ac:dyDescent="0.25">
      <c r="A182" t="s">
        <v>253</v>
      </c>
      <c r="B182">
        <v>-4466</v>
      </c>
      <c r="C182">
        <v>-336915.04</v>
      </c>
    </row>
    <row r="183" spans="1:3" x14ac:dyDescent="0.25">
      <c r="A183" t="s">
        <v>226</v>
      </c>
      <c r="B183">
        <v>-20462</v>
      </c>
      <c r="C183">
        <v>-242065.46</v>
      </c>
    </row>
    <row r="184" spans="1:3" x14ac:dyDescent="0.25">
      <c r="A184" t="s">
        <v>241</v>
      </c>
      <c r="B184">
        <v>-1488</v>
      </c>
      <c r="C184">
        <v>-73849.440000000002</v>
      </c>
    </row>
    <row r="185" spans="1:3" x14ac:dyDescent="0.25">
      <c r="A185" t="s">
        <v>197</v>
      </c>
      <c r="B185">
        <v>-616</v>
      </c>
      <c r="C185">
        <v>-26383.279999999999</v>
      </c>
    </row>
    <row r="186" spans="1:3" x14ac:dyDescent="0.25">
      <c r="A186" t="s">
        <v>254</v>
      </c>
      <c r="B186">
        <v>-2701</v>
      </c>
      <c r="C186">
        <v>-243630.2</v>
      </c>
    </row>
    <row r="187" spans="1:3" x14ac:dyDescent="0.25">
      <c r="A187" t="s">
        <v>198</v>
      </c>
      <c r="B187">
        <v>-17065</v>
      </c>
      <c r="C187">
        <v>-693180.3</v>
      </c>
    </row>
    <row r="188" spans="1:3" x14ac:dyDescent="0.25">
      <c r="A188" t="s">
        <v>46</v>
      </c>
      <c r="B188">
        <v>-6087</v>
      </c>
      <c r="C188">
        <v>-188027.43</v>
      </c>
    </row>
    <row r="189" spans="1:3" x14ac:dyDescent="0.25">
      <c r="A189" t="s">
        <v>199</v>
      </c>
      <c r="B189">
        <v>-2434</v>
      </c>
      <c r="C189">
        <v>-105392.2</v>
      </c>
    </row>
    <row r="190" spans="1:3" x14ac:dyDescent="0.25">
      <c r="A190" t="s">
        <v>219</v>
      </c>
      <c r="B190">
        <v>-1687</v>
      </c>
      <c r="C190">
        <v>-26958.26</v>
      </c>
    </row>
    <row r="191" spans="1:3" x14ac:dyDescent="0.25">
      <c r="A191" t="s">
        <v>200</v>
      </c>
      <c r="B191">
        <v>-1978</v>
      </c>
      <c r="C191">
        <v>-102183.48</v>
      </c>
    </row>
    <row r="192" spans="1:3" x14ac:dyDescent="0.25">
      <c r="A192" t="s">
        <v>91</v>
      </c>
      <c r="B192">
        <v>-1885</v>
      </c>
      <c r="C192">
        <v>-46239.05</v>
      </c>
    </row>
    <row r="193" spans="1:3" x14ac:dyDescent="0.25">
      <c r="A193" t="s">
        <v>232</v>
      </c>
      <c r="B193">
        <v>-3058</v>
      </c>
      <c r="C193">
        <v>-290938.12</v>
      </c>
    </row>
    <row r="194" spans="1:3" x14ac:dyDescent="0.25">
      <c r="A194" t="s">
        <v>143</v>
      </c>
      <c r="B194">
        <v>-5639</v>
      </c>
      <c r="C194">
        <v>-243040.9</v>
      </c>
    </row>
    <row r="195" spans="1:3" x14ac:dyDescent="0.25">
      <c r="A195" t="s">
        <v>208</v>
      </c>
      <c r="B195">
        <v>-6109</v>
      </c>
      <c r="C195">
        <v>-228354.42</v>
      </c>
    </row>
    <row r="196" spans="1:3" x14ac:dyDescent="0.25">
      <c r="A196" t="s">
        <v>201</v>
      </c>
      <c r="B196">
        <v>-10141</v>
      </c>
      <c r="C196">
        <v>-217625.86</v>
      </c>
    </row>
    <row r="197" spans="1:3" x14ac:dyDescent="0.25">
      <c r="A197" t="s">
        <v>92</v>
      </c>
      <c r="B197">
        <v>-7116</v>
      </c>
      <c r="C197">
        <v>-394297.56</v>
      </c>
    </row>
    <row r="198" spans="1:3" x14ac:dyDescent="0.25">
      <c r="A198" t="s">
        <v>93</v>
      </c>
      <c r="B198">
        <v>-994</v>
      </c>
      <c r="C198">
        <v>-251710.62</v>
      </c>
    </row>
    <row r="199" spans="1:3" x14ac:dyDescent="0.25">
      <c r="A199" t="s">
        <v>242</v>
      </c>
      <c r="B199">
        <v>-2891</v>
      </c>
      <c r="C199">
        <v>-268689.53999999998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C120E-0993-4CD2-9440-135FF0156A7C}">
  <sheetPr codeName="Sheet10"/>
  <dimension ref="A1:C66"/>
  <sheetViews>
    <sheetView tabSelected="1" topLeftCell="A39" workbookViewId="0">
      <selection activeCell="A2" sqref="A2:C66"/>
    </sheetView>
  </sheetViews>
  <sheetFormatPr defaultRowHeight="15" x14ac:dyDescent="0.25"/>
  <cols>
    <col min="1" max="2" width="7.5703125" bestFit="1" customWidth="1"/>
    <col min="3" max="3" width="17" bestFit="1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 t="s">
        <v>257</v>
      </c>
      <c r="B2">
        <v>634</v>
      </c>
      <c r="C2">
        <v>9949.99</v>
      </c>
    </row>
    <row r="3" spans="1:3" x14ac:dyDescent="0.25">
      <c r="A3" t="s">
        <v>20</v>
      </c>
      <c r="B3">
        <v>123</v>
      </c>
      <c r="C3">
        <v>15763.68</v>
      </c>
    </row>
    <row r="4" spans="1:3" x14ac:dyDescent="0.25">
      <c r="A4" t="s">
        <v>21</v>
      </c>
      <c r="B4">
        <v>74</v>
      </c>
      <c r="C4">
        <v>10213.48</v>
      </c>
    </row>
    <row r="5" spans="1:3" x14ac:dyDescent="0.25">
      <c r="A5" t="s">
        <v>213</v>
      </c>
      <c r="B5">
        <v>64</v>
      </c>
      <c r="C5">
        <v>5418.24</v>
      </c>
    </row>
    <row r="6" spans="1:3" x14ac:dyDescent="0.25">
      <c r="A6" t="s">
        <v>225</v>
      </c>
      <c r="B6">
        <v>7</v>
      </c>
      <c r="C6">
        <v>433.93</v>
      </c>
    </row>
    <row r="7" spans="1:3" x14ac:dyDescent="0.25">
      <c r="A7" t="s">
        <v>23</v>
      </c>
      <c r="B7">
        <v>476</v>
      </c>
      <c r="C7">
        <v>5340.72</v>
      </c>
    </row>
    <row r="8" spans="1:3" x14ac:dyDescent="0.25">
      <c r="A8" t="s">
        <v>27</v>
      </c>
      <c r="B8">
        <v>178</v>
      </c>
      <c r="C8">
        <v>6489.88</v>
      </c>
    </row>
    <row r="9" spans="1:3" x14ac:dyDescent="0.25">
      <c r="A9" t="s">
        <v>28</v>
      </c>
      <c r="B9">
        <v>249</v>
      </c>
      <c r="C9">
        <v>30639.45</v>
      </c>
    </row>
    <row r="10" spans="1:3" x14ac:dyDescent="0.25">
      <c r="A10" t="s">
        <v>166</v>
      </c>
      <c r="B10">
        <v>1134</v>
      </c>
      <c r="C10">
        <v>16408.98</v>
      </c>
    </row>
    <row r="11" spans="1:3" x14ac:dyDescent="0.25">
      <c r="A11" t="s">
        <v>210</v>
      </c>
      <c r="B11">
        <v>408</v>
      </c>
      <c r="C11">
        <v>33566.160000000003</v>
      </c>
    </row>
    <row r="12" spans="1:3" x14ac:dyDescent="0.25">
      <c r="A12" t="s">
        <v>228</v>
      </c>
      <c r="B12">
        <v>694</v>
      </c>
      <c r="C12">
        <v>20799.18</v>
      </c>
    </row>
    <row r="13" spans="1:3" x14ac:dyDescent="0.25">
      <c r="A13" t="s">
        <v>169</v>
      </c>
      <c r="B13">
        <v>466</v>
      </c>
      <c r="C13">
        <v>32135.360000000001</v>
      </c>
    </row>
    <row r="14" spans="1:3" x14ac:dyDescent="0.25">
      <c r="A14" t="s">
        <v>259</v>
      </c>
      <c r="B14">
        <v>93</v>
      </c>
      <c r="C14">
        <v>6409.56</v>
      </c>
    </row>
    <row r="15" spans="1:3" x14ac:dyDescent="0.25">
      <c r="A15" t="s">
        <v>39</v>
      </c>
      <c r="B15">
        <v>257</v>
      </c>
      <c r="C15">
        <v>35460.86</v>
      </c>
    </row>
    <row r="16" spans="1:3" x14ac:dyDescent="0.25">
      <c r="A16" t="s">
        <v>40</v>
      </c>
      <c r="B16">
        <v>251</v>
      </c>
      <c r="C16">
        <v>32855.9</v>
      </c>
    </row>
    <row r="17" spans="1:3" x14ac:dyDescent="0.25">
      <c r="A17" t="s">
        <v>182</v>
      </c>
      <c r="B17">
        <v>262</v>
      </c>
      <c r="C17">
        <v>8845.1200000000008</v>
      </c>
    </row>
    <row r="18" spans="1:3" x14ac:dyDescent="0.25">
      <c r="A18" t="s">
        <v>260</v>
      </c>
      <c r="B18">
        <v>1415</v>
      </c>
      <c r="C18">
        <v>12112.4</v>
      </c>
    </row>
    <row r="19" spans="1:3" x14ac:dyDescent="0.25">
      <c r="A19" t="s">
        <v>183</v>
      </c>
      <c r="B19">
        <v>43</v>
      </c>
      <c r="C19">
        <v>16218.74</v>
      </c>
    </row>
    <row r="20" spans="1:3" x14ac:dyDescent="0.25">
      <c r="A20" t="s">
        <v>212</v>
      </c>
      <c r="B20">
        <v>1077</v>
      </c>
      <c r="C20">
        <v>31922.28</v>
      </c>
    </row>
    <row r="21" spans="1:3" x14ac:dyDescent="0.25">
      <c r="A21" t="s">
        <v>269</v>
      </c>
      <c r="B21">
        <v>221</v>
      </c>
      <c r="C21">
        <v>4282.9799999999996</v>
      </c>
    </row>
    <row r="22" spans="1:3" x14ac:dyDescent="0.25">
      <c r="A22" t="s">
        <v>48</v>
      </c>
      <c r="B22">
        <v>52</v>
      </c>
      <c r="C22">
        <v>12006.8</v>
      </c>
    </row>
    <row r="23" spans="1:3" x14ac:dyDescent="0.25">
      <c r="A23" t="s">
        <v>156</v>
      </c>
      <c r="B23">
        <v>-34</v>
      </c>
      <c r="C23">
        <v>-2197.08</v>
      </c>
    </row>
    <row r="24" spans="1:3" x14ac:dyDescent="0.25">
      <c r="A24" t="s">
        <v>245</v>
      </c>
      <c r="B24">
        <v>-1363</v>
      </c>
      <c r="C24">
        <v>-12975.76</v>
      </c>
    </row>
    <row r="25" spans="1:3" x14ac:dyDescent="0.25">
      <c r="A25" t="s">
        <v>177</v>
      </c>
      <c r="B25">
        <v>-345</v>
      </c>
      <c r="C25">
        <v>-18995.7</v>
      </c>
    </row>
    <row r="26" spans="1:3" x14ac:dyDescent="0.25">
      <c r="A26" t="s">
        <v>246</v>
      </c>
      <c r="B26">
        <v>-29</v>
      </c>
      <c r="C26">
        <v>-1077.06</v>
      </c>
    </row>
    <row r="27" spans="1:3" x14ac:dyDescent="0.25">
      <c r="A27" t="s">
        <v>51</v>
      </c>
      <c r="B27">
        <v>-24</v>
      </c>
      <c r="C27">
        <v>-3174</v>
      </c>
    </row>
    <row r="28" spans="1:3" x14ac:dyDescent="0.25">
      <c r="A28" t="s">
        <v>160</v>
      </c>
      <c r="B28">
        <v>-26</v>
      </c>
      <c r="C28">
        <v>-774.02</v>
      </c>
    </row>
    <row r="29" spans="1:3" x14ac:dyDescent="0.25">
      <c r="A29" t="s">
        <v>186</v>
      </c>
      <c r="B29">
        <v>-40</v>
      </c>
      <c r="C29">
        <v>-4572.3999999999996</v>
      </c>
    </row>
    <row r="30" spans="1:3" x14ac:dyDescent="0.25">
      <c r="A30" t="s">
        <v>56</v>
      </c>
      <c r="B30">
        <v>-160</v>
      </c>
      <c r="C30">
        <v>-12003.2</v>
      </c>
    </row>
    <row r="31" spans="1:3" x14ac:dyDescent="0.25">
      <c r="A31" t="s">
        <v>59</v>
      </c>
      <c r="B31">
        <v>-144</v>
      </c>
      <c r="C31">
        <v>-2191.6799999999998</v>
      </c>
    </row>
    <row r="32" spans="1:3" x14ac:dyDescent="0.25">
      <c r="A32" t="s">
        <v>60</v>
      </c>
      <c r="B32">
        <v>-19</v>
      </c>
      <c r="C32">
        <v>-3242.73</v>
      </c>
    </row>
    <row r="33" spans="1:3" x14ac:dyDescent="0.25">
      <c r="A33" t="s">
        <v>161</v>
      </c>
      <c r="B33">
        <v>-48</v>
      </c>
      <c r="C33">
        <v>-10781.76</v>
      </c>
    </row>
    <row r="34" spans="1:3" x14ac:dyDescent="0.25">
      <c r="A34" t="s">
        <v>63</v>
      </c>
      <c r="B34">
        <v>-21</v>
      </c>
      <c r="C34">
        <v>-5121.6899999999996</v>
      </c>
    </row>
    <row r="35" spans="1:3" x14ac:dyDescent="0.25">
      <c r="A35" t="s">
        <v>274</v>
      </c>
      <c r="B35">
        <v>-180</v>
      </c>
      <c r="C35">
        <v>-7972.2</v>
      </c>
    </row>
    <row r="36" spans="1:3" x14ac:dyDescent="0.25">
      <c r="A36" t="s">
        <v>66</v>
      </c>
      <c r="B36">
        <v>-51</v>
      </c>
      <c r="C36">
        <v>-2756.55</v>
      </c>
    </row>
    <row r="37" spans="1:3" x14ac:dyDescent="0.25">
      <c r="A37" t="s">
        <v>223</v>
      </c>
      <c r="B37">
        <v>-94</v>
      </c>
      <c r="C37">
        <v>-8625.44</v>
      </c>
    </row>
    <row r="38" spans="1:3" x14ac:dyDescent="0.25">
      <c r="A38" t="s">
        <v>270</v>
      </c>
      <c r="B38">
        <v>-57</v>
      </c>
      <c r="C38">
        <v>-6582.36</v>
      </c>
    </row>
    <row r="39" spans="1:3" x14ac:dyDescent="0.25">
      <c r="A39" t="s">
        <v>69</v>
      </c>
      <c r="B39">
        <v>-381</v>
      </c>
      <c r="C39">
        <v>-8713.4699999999993</v>
      </c>
    </row>
    <row r="40" spans="1:3" x14ac:dyDescent="0.25">
      <c r="A40" t="s">
        <v>70</v>
      </c>
      <c r="B40">
        <v>-31</v>
      </c>
      <c r="C40">
        <v>-4117.1099999999997</v>
      </c>
    </row>
    <row r="41" spans="1:3" x14ac:dyDescent="0.25">
      <c r="A41" t="s">
        <v>141</v>
      </c>
      <c r="B41">
        <v>-54</v>
      </c>
      <c r="C41">
        <v>-4105.62</v>
      </c>
    </row>
    <row r="42" spans="1:3" x14ac:dyDescent="0.25">
      <c r="A42" t="s">
        <v>71</v>
      </c>
      <c r="B42">
        <v>-57</v>
      </c>
      <c r="C42">
        <v>-1007.19</v>
      </c>
    </row>
    <row r="43" spans="1:3" x14ac:dyDescent="0.25">
      <c r="A43" t="s">
        <v>214</v>
      </c>
      <c r="B43">
        <v>-176</v>
      </c>
      <c r="C43">
        <v>-2013.44</v>
      </c>
    </row>
    <row r="44" spans="1:3" x14ac:dyDescent="0.25">
      <c r="A44" t="s">
        <v>190</v>
      </c>
      <c r="B44">
        <v>-42</v>
      </c>
      <c r="C44">
        <v>-4637.22</v>
      </c>
    </row>
    <row r="45" spans="1:3" x14ac:dyDescent="0.25">
      <c r="A45" t="s">
        <v>247</v>
      </c>
      <c r="B45">
        <v>-460</v>
      </c>
      <c r="C45">
        <v>-8703.2000000000007</v>
      </c>
    </row>
    <row r="46" spans="1:3" x14ac:dyDescent="0.25">
      <c r="A46" t="s">
        <v>238</v>
      </c>
      <c r="B46">
        <v>-22</v>
      </c>
      <c r="C46">
        <v>-3070.98</v>
      </c>
    </row>
    <row r="47" spans="1:3" x14ac:dyDescent="0.25">
      <c r="A47" t="s">
        <v>75</v>
      </c>
      <c r="B47">
        <v>-58</v>
      </c>
      <c r="C47">
        <v>-968.6</v>
      </c>
    </row>
    <row r="48" spans="1:3" x14ac:dyDescent="0.25">
      <c r="A48" t="s">
        <v>78</v>
      </c>
      <c r="B48">
        <v>-30</v>
      </c>
      <c r="C48">
        <v>-1115.4000000000001</v>
      </c>
    </row>
    <row r="49" spans="1:3" x14ac:dyDescent="0.25">
      <c r="A49" t="s">
        <v>192</v>
      </c>
      <c r="B49">
        <v>-38</v>
      </c>
      <c r="C49">
        <v>-1798.16</v>
      </c>
    </row>
    <row r="50" spans="1:3" x14ac:dyDescent="0.25">
      <c r="A50" t="s">
        <v>272</v>
      </c>
      <c r="B50">
        <v>-33</v>
      </c>
      <c r="C50">
        <v>-10667.91</v>
      </c>
    </row>
    <row r="51" spans="1:3" x14ac:dyDescent="0.25">
      <c r="A51" t="s">
        <v>217</v>
      </c>
      <c r="B51">
        <v>-286</v>
      </c>
      <c r="C51">
        <v>-5428.28</v>
      </c>
    </row>
    <row r="52" spans="1:3" x14ac:dyDescent="0.25">
      <c r="A52" t="s">
        <v>168</v>
      </c>
      <c r="B52">
        <v>-391</v>
      </c>
      <c r="C52">
        <v>-9024.2800000000007</v>
      </c>
    </row>
    <row r="53" spans="1:3" x14ac:dyDescent="0.25">
      <c r="A53" t="s">
        <v>81</v>
      </c>
      <c r="B53">
        <v>-258</v>
      </c>
      <c r="C53">
        <v>-6785.4</v>
      </c>
    </row>
    <row r="54" spans="1:3" x14ac:dyDescent="0.25">
      <c r="A54" t="s">
        <v>194</v>
      </c>
      <c r="B54">
        <v>-1040</v>
      </c>
      <c r="C54">
        <v>-16016</v>
      </c>
    </row>
    <row r="55" spans="1:3" x14ac:dyDescent="0.25">
      <c r="A55" t="s">
        <v>264</v>
      </c>
      <c r="B55">
        <v>-51</v>
      </c>
      <c r="C55">
        <v>-8404.2900000000009</v>
      </c>
    </row>
    <row r="56" spans="1:3" x14ac:dyDescent="0.25">
      <c r="A56" t="s">
        <v>170</v>
      </c>
      <c r="B56">
        <v>-18</v>
      </c>
      <c r="C56">
        <v>-2160.7199999999998</v>
      </c>
    </row>
    <row r="57" spans="1:3" x14ac:dyDescent="0.25">
      <c r="A57" t="s">
        <v>84</v>
      </c>
      <c r="B57">
        <v>-180</v>
      </c>
      <c r="C57">
        <v>-1101.5999999999999</v>
      </c>
    </row>
    <row r="58" spans="1:3" x14ac:dyDescent="0.25">
      <c r="A58" t="s">
        <v>196</v>
      </c>
      <c r="B58">
        <v>-214</v>
      </c>
      <c r="C58">
        <v>-13625.38</v>
      </c>
    </row>
    <row r="59" spans="1:3" x14ac:dyDescent="0.25">
      <c r="A59" t="s">
        <v>231</v>
      </c>
      <c r="B59">
        <v>-17</v>
      </c>
      <c r="C59">
        <v>-1102.96</v>
      </c>
    </row>
    <row r="60" spans="1:3" x14ac:dyDescent="0.25">
      <c r="A60" t="s">
        <v>172</v>
      </c>
      <c r="B60">
        <v>-280</v>
      </c>
      <c r="C60">
        <v>-9170</v>
      </c>
    </row>
    <row r="61" spans="1:3" x14ac:dyDescent="0.25">
      <c r="A61" t="s">
        <v>155</v>
      </c>
      <c r="B61">
        <v>-56</v>
      </c>
      <c r="C61">
        <v>-4233.6000000000004</v>
      </c>
    </row>
    <row r="62" spans="1:3" x14ac:dyDescent="0.25">
      <c r="A62" t="s">
        <v>89</v>
      </c>
      <c r="B62">
        <v>-6</v>
      </c>
      <c r="C62">
        <v>-1111.3800000000001</v>
      </c>
    </row>
    <row r="63" spans="1:3" x14ac:dyDescent="0.25">
      <c r="A63" t="s">
        <v>253</v>
      </c>
      <c r="B63">
        <v>-125</v>
      </c>
      <c r="C63">
        <v>-9430</v>
      </c>
    </row>
    <row r="64" spans="1:3" x14ac:dyDescent="0.25">
      <c r="A64" t="s">
        <v>226</v>
      </c>
      <c r="B64">
        <v>-535</v>
      </c>
      <c r="C64">
        <v>-6329.05</v>
      </c>
    </row>
    <row r="65" spans="1:3" x14ac:dyDescent="0.25">
      <c r="A65" t="s">
        <v>241</v>
      </c>
      <c r="B65">
        <v>-65</v>
      </c>
      <c r="C65">
        <v>-3225.95</v>
      </c>
    </row>
    <row r="66" spans="1:3" x14ac:dyDescent="0.25">
      <c r="A66" t="s">
        <v>232</v>
      </c>
      <c r="B66">
        <v>-73</v>
      </c>
      <c r="C66">
        <v>-6945.22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D5D7-974E-4455-BCC8-CA7EDC569C6C}">
  <sheetPr codeName="Sheet5"/>
  <dimension ref="A1:C7"/>
  <sheetViews>
    <sheetView workbookViewId="0">
      <selection activeCell="A2" sqref="A2"/>
    </sheetView>
  </sheetViews>
  <sheetFormatPr defaultRowHeight="15" x14ac:dyDescent="0.25"/>
  <cols>
    <col min="1" max="2" width="26.7109375" bestFit="1" customWidth="1"/>
    <col min="3" max="3" width="17" bestFit="1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 t="s">
        <v>119</v>
      </c>
      <c r="B2">
        <v>53905</v>
      </c>
      <c r="C2">
        <v>215620</v>
      </c>
    </row>
    <row r="3" spans="1:3" x14ac:dyDescent="0.25">
      <c r="A3" t="s">
        <v>120</v>
      </c>
      <c r="B3">
        <v>8373</v>
      </c>
      <c r="C3">
        <v>112281.93</v>
      </c>
    </row>
    <row r="4" spans="1:3" x14ac:dyDescent="0.25">
      <c r="A4" t="s">
        <v>121</v>
      </c>
      <c r="B4">
        <v>19208</v>
      </c>
      <c r="C4">
        <v>257579.28</v>
      </c>
    </row>
    <row r="5" spans="1:3" x14ac:dyDescent="0.25">
      <c r="A5" t="s">
        <v>122</v>
      </c>
      <c r="B5">
        <v>3266</v>
      </c>
      <c r="C5">
        <v>13390.6</v>
      </c>
    </row>
    <row r="6" spans="1:3" x14ac:dyDescent="0.25">
      <c r="A6" t="s">
        <v>119</v>
      </c>
      <c r="B6">
        <v>38656</v>
      </c>
      <c r="C6">
        <v>154624</v>
      </c>
    </row>
    <row r="7" spans="1:3" x14ac:dyDescent="0.25">
      <c r="A7" t="s">
        <v>125</v>
      </c>
      <c r="B7">
        <v>6294</v>
      </c>
      <c r="C7">
        <v>25176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Date</vt:lpstr>
      <vt:lpstr>FOF</vt:lpstr>
      <vt:lpstr>Bridge</vt:lpstr>
      <vt:lpstr>LS</vt:lpstr>
      <vt:lpstr>AMX8</vt:lpstr>
      <vt:lpstr>AROV</vt:lpstr>
      <vt:lpstr>ATOM</vt:lpstr>
      <vt:lpstr>AVYF</vt:lpstr>
      <vt:lpstr>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Cuong Ly</dc:creator>
  <cp:lastModifiedBy>Cuong Ly</cp:lastModifiedBy>
  <dcterms:created xsi:type="dcterms:W3CDTF">2022-07-28T18:18:11Z</dcterms:created>
  <dcterms:modified xsi:type="dcterms:W3CDTF">2023-02-02T13:21:11Z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{48365E59-556F-4D42-ABDD-A9BE0E1FB256}</vt:lpwstr>
  </property>
</Properties>
</file>